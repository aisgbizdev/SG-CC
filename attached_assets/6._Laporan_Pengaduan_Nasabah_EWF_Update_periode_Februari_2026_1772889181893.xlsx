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adly\Desktop\Yang Dikerjakan\Profil Nasabah. Lap DK\Laporan BW\2026\Februari 2026\"/>
    </mc:Choice>
  </mc:AlternateContent>
  <xr:revisionPtr revIDLastSave="0" documentId="13_ncr:1_{24EE7A39-9A96-46EF-B621-A46669A624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" sheetId="1" r:id="rId1"/>
  </sheets>
  <externalReferences>
    <externalReference r:id="rId2"/>
  </externalReferences>
  <definedNames>
    <definedName name="_xlnm._FilterDatabase" localSheetId="0" hidden="1">ALL!$A$5:$I$5</definedName>
    <definedName name="DaftarDomisili">[1]Domisili!#REF!</definedName>
    <definedName name="_xlnm.Print_Area" localSheetId="0">ALL!$A$1:$I$14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1" i="1" l="1"/>
  <c r="E27" i="1"/>
</calcChain>
</file>

<file path=xl/sharedStrings.xml><?xml version="1.0" encoding="utf-8"?>
<sst xmlns="http://schemas.openxmlformats.org/spreadsheetml/2006/main" count="158" uniqueCount="107">
  <si>
    <t>I. PENGADUAN MELALUI BAPPEBTI</t>
  </si>
  <si>
    <t>NO</t>
  </si>
  <si>
    <t>INTI PENGADUAN</t>
  </si>
  <si>
    <t>TINDAK LANJUT</t>
  </si>
  <si>
    <t>CABANG</t>
  </si>
  <si>
    <t>KETERANGAN</t>
  </si>
  <si>
    <t>II. PENGADUAN MELALUI POLISI</t>
  </si>
  <si>
    <t>III. PENGADUAN MELALUI PENGADILAN NEGERI / BAKTI</t>
  </si>
  <si>
    <t>TEMPAT</t>
  </si>
  <si>
    <t>SELESAI</t>
  </si>
  <si>
    <t>BELUM</t>
  </si>
  <si>
    <t>BAPPEBTI</t>
  </si>
  <si>
    <t>POLISI</t>
  </si>
  <si>
    <t>PN/BAKTI</t>
  </si>
  <si>
    <t>TOTAL</t>
  </si>
  <si>
    <t>LAPORAN PENYELESAIAN PENGADUAN</t>
  </si>
  <si>
    <t>Semarang</t>
  </si>
  <si>
    <t>PT. EQUITYWORLD FUTURES</t>
  </si>
  <si>
    <t>REKAP PENANGANAN PENGADUAN PT. EWF</t>
  </si>
  <si>
    <t>LAPORAN PENGADUAN BAPPEBTI</t>
  </si>
  <si>
    <t>BELUM SELESAI</t>
  </si>
  <si>
    <t>CIREBON</t>
  </si>
  <si>
    <t>CYBER</t>
  </si>
  <si>
    <t>MANADO</t>
  </si>
  <si>
    <t>MEDAN</t>
  </si>
  <si>
    <t>PUSAT</t>
  </si>
  <si>
    <t>SAMARINDA</t>
  </si>
  <si>
    <t>SEMARANG</t>
  </si>
  <si>
    <t>SURABAYA PRAXIS</t>
  </si>
  <si>
    <t>SURABAYA TRILLIUM</t>
  </si>
  <si>
    <t>Surabaya Trillium</t>
  </si>
  <si>
    <t>TRILLIUM</t>
  </si>
  <si>
    <t>PRAXIS</t>
  </si>
  <si>
    <t>REKAP PENANGANAN PENGADUAN PENGADILAN NEGERI</t>
  </si>
  <si>
    <t xml:space="preserve">LAPORAN PENGADUAN MELALUI POLISI </t>
  </si>
  <si>
    <t>24 Mei 2021</t>
  </si>
  <si>
    <t>Nasabah merasa dirugikan dengan iming-iming dan penjelasan resiko yang tidak transparan, mengaku transaksi di lakukan oleh pihak marketing</t>
  </si>
  <si>
    <t>KELEMAHAN</t>
  </si>
  <si>
    <t>Jakarta</t>
  </si>
  <si>
    <t xml:space="preserve">NASABAH/AKUN </t>
  </si>
  <si>
    <t>Petrus Andert / RUAB1228</t>
  </si>
  <si>
    <t>Yunita damayanti / RZBJ3366</t>
  </si>
  <si>
    <t xml:space="preserve">TGL JOIN, MARGIN </t>
  </si>
  <si>
    <t>TANGGAL PENGADUAN ONLINE</t>
  </si>
  <si>
    <t>MARKETING/WPB/TEAM</t>
  </si>
  <si>
    <t>24/09/2021, Margin Awal Rp 100.000.000, Net Margin: 2.200.000.000, LOT: 1006</t>
  </si>
  <si>
    <t>Marketing: Retta Tarukalo WPB: Yuli Amelia, Team: Yuli Amelia</t>
  </si>
  <si>
    <t xml:space="preserve">Marketing: Intan, Harry, WPB: Marten Estevanus Mandak. Team: Hermin   </t>
  </si>
  <si>
    <t>TANGGAL PENGADUAN POLISI</t>
  </si>
  <si>
    <t xml:space="preserve">  </t>
  </si>
  <si>
    <t>Roedyanto</t>
  </si>
  <si>
    <t xml:space="preserve"> </t>
  </si>
  <si>
    <t>Upaya penghentian laporan polisi</t>
  </si>
  <si>
    <t>23 Juni 22</t>
  </si>
  <si>
    <t>Marketing dan WPB telah diperiksa</t>
  </si>
  <si>
    <t>Samarinda</t>
  </si>
  <si>
    <t>Musyawarah pialang 1 Juni 2021, mediasi BBJ 8 November 2022, Pemeriksaan Bappebti 7 Desember 2023, Sanksi Bappebti 22 April 2024 pelanggaran mentransaksikan</t>
  </si>
  <si>
    <t>Transaksi dibantu oleh marketing</t>
  </si>
  <si>
    <t>5 Februari 2023</t>
  </si>
  <si>
    <t xml:space="preserve"> Marketing: Endah, WPB: Endah Listiawati, Team: Endah Listiawati</t>
  </si>
  <si>
    <t>Marketing: Heni, Yuni, WPB: Ahmad Farid, Team: Heni</t>
  </si>
  <si>
    <t>Musyawarah pialang 8 April 2022, mediasi BBJ 6 Juli 2022, Pemeriksaan Bappebti 9 Maret 2023, Sanksi Bappebti 12 Juni 2023 pelanggaran mentransaksikan</t>
  </si>
  <si>
    <t>Manado</t>
  </si>
  <si>
    <t>Noske Oswald Onibala</t>
  </si>
  <si>
    <t>09/08/2017,  Net Margin: Rp.1.054.420.000</t>
  </si>
  <si>
    <t>27 Maret 2025</t>
  </si>
  <si>
    <t>Marketing: Vera Indri Mira Bela, WPB: Udin Handoko Putro, Team: Udin Handoko Putro</t>
  </si>
  <si>
    <t>Imanuel Alan Onibala</t>
  </si>
  <si>
    <t>06/07/2017,  Net Margin: Rp.640.950.000</t>
  </si>
  <si>
    <t>29 Maret 2025</t>
  </si>
  <si>
    <t>Norma R Siar</t>
  </si>
  <si>
    <t>17/05/2021,  Net Margin: Rp.102.100.000</t>
  </si>
  <si>
    <t>Marketing: Arvillia Militia Kristi Rawung, WPB: Nadya Fristiani Tehamen, Team: Jefri Mirah</t>
  </si>
  <si>
    <t>Albertus Yosep Adi Susanto / RFBS5926</t>
  </si>
  <si>
    <t xml:space="preserve">23/10/2020, , Net Margin: Rp. 8.540.000.000, </t>
  </si>
  <si>
    <t>27 Maret 2022</t>
  </si>
  <si>
    <t>Cirebon</t>
  </si>
  <si>
    <t>Wiwin Widiawati</t>
  </si>
  <si>
    <t>04/01/2024,  Net Margin: Rp.80.000.000</t>
  </si>
  <si>
    <t>13 Januari 2025</t>
  </si>
  <si>
    <t xml:space="preserve">Marketing:  Syaeful Bahri, WPB: Azzahra Safira, Team: Soebani </t>
  </si>
  <si>
    <t>Edi Winanto</t>
  </si>
  <si>
    <t>28/03/2024,  Net Margin: Rp.200.000.000</t>
  </si>
  <si>
    <t>Marketing: Yulianto, WPB: Yulianto, Team: Ali Abidin</t>
  </si>
  <si>
    <t>Tamam Faris</t>
  </si>
  <si>
    <t>07/06/2024,  Net Margin: Rp.180.000.000</t>
  </si>
  <si>
    <t>Marketing: Johanes, WPB: Ismawati, Team: Ismawati</t>
  </si>
  <si>
    <t>Kotot Gutomo</t>
  </si>
  <si>
    <t>04/01/2024,  Net Margin: Rp.560.647.000</t>
  </si>
  <si>
    <t>Marketing: Hervina, WPB: Hervina, Team: Hervina</t>
  </si>
  <si>
    <t>Putusan PN Jakarta Pusat 16 Desember 2024</t>
  </si>
  <si>
    <t>5/06/2019, Net Margin: Rp. 1.855.600.000</t>
  </si>
  <si>
    <t>Pencabutan laporan kepolisian di polresta samarinda 5 oktober 2020, Proses persidangan PN Samarinda</t>
  </si>
  <si>
    <t>Transaksi dibantu marketing</t>
  </si>
  <si>
    <t>Musyawarah pialang 17 Februari 2023, mediasi BBJ 10 Maret 2023, Pemeriksaan Bappebti 17 April 2025, Sanksi Bappebti 9 Juli 2025</t>
  </si>
  <si>
    <t>Putusan PN Jakarta Pusat 16 November 2023, gugatan perdata PN Pusat 2 Desember 2025</t>
  </si>
  <si>
    <t>8/06/2021, Net Margin: 450.000.000</t>
  </si>
  <si>
    <t xml:space="preserve">Proses sidang di PN Samarinda </t>
  </si>
  <si>
    <t>Sejauh ini tidak ada indikasi pelanggaran</t>
  </si>
  <si>
    <t>PERIODE FEBRUARI 2026</t>
  </si>
  <si>
    <t>Musyawarah pialang 28 April 2025 (nasabah tidak datang), mediasi BBJ tidak terjadi kesepakatan</t>
  </si>
  <si>
    <t>Musyawarah pialang 29 April 2025 (nasabah tidak datang), mediasi BBJ tidak terjadi kesepakatan</t>
  </si>
  <si>
    <t>Musyawarah pialang 29 April 2025, mediasi BBJ tidak terjadi kesepakatan</t>
  </si>
  <si>
    <t>Musyawarah pialang 30 Januari 2025, mediasi BBJ 17 Maret 2025</t>
  </si>
  <si>
    <t>Musyawarah pialang 25 November 2024, mediasi BBJ 15 Januari 2025</t>
  </si>
  <si>
    <t>Musyawarah pialang 29 September 2024, mediasi BBJ 12 November 2024</t>
  </si>
  <si>
    <t>Musyawarah pialang 21 Oktober 2024, mediasi BBJ 20 November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</si>
</sst>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809]d\ mmm\ yyyy;@"/>
  </numFmts>
  <fonts count="1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20"/>
      <color theme="1"/>
      <name val="Calibri Light"/>
      <family val="2"/>
    </font>
    <font>
      <sz val="20"/>
      <color theme="1"/>
      <name val="Calibri Light"/>
      <family val="2"/>
    </font>
    <font>
      <b/>
      <sz val="20"/>
      <name val="Calibri Light"/>
      <family val="2"/>
    </font>
    <font>
      <sz val="20"/>
      <color rgb="FF000000"/>
      <name val="Calibri Light"/>
      <family val="2"/>
    </font>
    <font>
      <sz val="20"/>
      <name val="Calibri Light"/>
      <family val="2"/>
    </font>
    <font>
      <b/>
      <sz val="20"/>
      <color rgb="FF000000"/>
      <name val="Calibri Light"/>
      <family val="2"/>
    </font>
    <font>
      <sz val="22"/>
      <color rgb="FF000000"/>
      <name val="Calibri Light"/>
      <family val="2"/>
    </font>
    <font>
      <sz val="22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7">
    <xf numFmtId="0" fontId="0" fillId="0" borderId="0" xfId="0"/>
    <xf numFmtId="0" fontId="3" fillId="0" borderId="0" xfId="0" applyFont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 applyProtection="1">
      <alignment horizontal="center" vertical="center" wrapText="1"/>
      <protection locked="0"/>
    </xf>
    <xf numFmtId="0" fontId="5" fillId="3" borderId="2" xfId="2" applyFont="1" applyFill="1" applyBorder="1" applyAlignment="1" applyProtection="1">
      <alignment horizontal="center" vertical="center" wrapText="1"/>
      <protection locked="0"/>
    </xf>
    <xf numFmtId="15" fontId="5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7" fillId="3" borderId="2" xfId="0" applyFont="1" applyFill="1" applyBorder="1" applyAlignment="1" applyProtection="1">
      <alignment horizontal="center" vertical="center" wrapText="1"/>
      <protection locked="0"/>
    </xf>
    <xf numFmtId="0" fontId="5" fillId="0" borderId="2" xfId="1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 applyProtection="1">
      <alignment horizontal="center" vertical="center" wrapText="1"/>
      <protection locked="0"/>
    </xf>
    <xf numFmtId="0" fontId="2" fillId="0" borderId="0" xfId="0" applyFont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3" borderId="0" xfId="0" applyFont="1" applyFill="1" applyAlignment="1" applyProtection="1">
      <alignment vertical="center" wrapText="1"/>
      <protection locked="0"/>
    </xf>
    <xf numFmtId="0" fontId="4" fillId="3" borderId="6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 applyProtection="1">
      <alignment vertical="center" wrapText="1"/>
      <protection locked="0"/>
    </xf>
    <xf numFmtId="0" fontId="2" fillId="0" borderId="6" xfId="0" applyFont="1" applyBorder="1" applyAlignment="1">
      <alignment horizontal="center" vertical="center" wrapText="1"/>
    </xf>
    <xf numFmtId="164" fontId="5" fillId="0" borderId="2" xfId="1" applyNumberFormat="1" applyFont="1" applyBorder="1" applyAlignment="1" applyProtection="1">
      <alignment horizontal="center" vertical="center" wrapText="1"/>
      <protection locked="0"/>
    </xf>
    <xf numFmtId="0" fontId="5" fillId="3" borderId="5" xfId="0" applyFont="1" applyFill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2" xfId="2" applyFont="1" applyBorder="1" applyAlignment="1" applyProtection="1">
      <alignment horizontal="center" vertical="center" wrapText="1"/>
      <protection locked="0"/>
    </xf>
    <xf numFmtId="15" fontId="5" fillId="0" borderId="2" xfId="0" applyNumberFormat="1" applyFont="1" applyBorder="1" applyAlignment="1" applyProtection="1">
      <alignment horizontal="center" vertical="center" wrapText="1"/>
      <protection locked="0"/>
    </xf>
    <xf numFmtId="0" fontId="6" fillId="0" borderId="2" xfId="0" applyFont="1" applyBorder="1" applyAlignment="1">
      <alignment horizontal="left" vertical="center" wrapText="1"/>
    </xf>
    <xf numFmtId="0" fontId="5" fillId="3" borderId="3" xfId="0" applyFont="1" applyFill="1" applyBorder="1" applyAlignment="1" applyProtection="1">
      <alignment horizontal="center" vertical="center" wrapText="1"/>
      <protection locked="0"/>
    </xf>
    <xf numFmtId="0" fontId="5" fillId="0" borderId="3" xfId="1" applyFont="1" applyBorder="1" applyAlignment="1" applyProtection="1">
      <alignment horizontal="center" vertical="center" wrapText="1"/>
      <protection locked="0"/>
    </xf>
    <xf numFmtId="0" fontId="5" fillId="0" borderId="3" xfId="2" applyFont="1" applyBorder="1" applyAlignment="1" applyProtection="1">
      <alignment horizontal="center" vertical="center" wrapText="1"/>
      <protection locked="0"/>
    </xf>
    <xf numFmtId="0" fontId="6" fillId="3" borderId="4" xfId="0" applyFont="1" applyFill="1" applyBorder="1" applyAlignment="1">
      <alignment horizontal="left" vertical="center" wrapText="1"/>
    </xf>
    <xf numFmtId="0" fontId="5" fillId="0" borderId="4" xfId="1" applyFont="1" applyBorder="1" applyAlignment="1" applyProtection="1">
      <alignment horizontal="left" vertical="center" wrapText="1"/>
      <protection locked="0"/>
    </xf>
    <xf numFmtId="0" fontId="6" fillId="0" borderId="4" xfId="0" applyFont="1" applyBorder="1" applyAlignment="1">
      <alignment horizontal="left" vertical="center" wrapText="1"/>
    </xf>
    <xf numFmtId="0" fontId="5" fillId="0" borderId="3" xfId="0" applyFont="1" applyBorder="1" applyAlignment="1" applyProtection="1">
      <alignment horizontal="center" vertical="center" wrapText="1"/>
      <protection locked="0"/>
    </xf>
    <xf numFmtId="0" fontId="5" fillId="0" borderId="2" xfId="1" applyFont="1" applyBorder="1" applyAlignment="1" applyProtection="1">
      <alignment horizontal="left" vertical="center" wrapText="1"/>
      <protection locked="0"/>
    </xf>
    <xf numFmtId="14" fontId="5" fillId="3" borderId="3" xfId="2" applyNumberFormat="1" applyFont="1" applyFill="1" applyBorder="1" applyAlignment="1" applyProtection="1">
      <alignment horizontal="center" vertical="center" wrapText="1"/>
      <protection locked="0"/>
    </xf>
    <xf numFmtId="0" fontId="8" fillId="0" borderId="2" xfId="0" applyFont="1" applyBorder="1" applyAlignment="1" applyProtection="1">
      <alignment horizontal="center" vertical="center" wrapText="1"/>
      <protection locked="0"/>
    </xf>
    <xf numFmtId="0" fontId="8" fillId="0" borderId="2" xfId="2" applyFont="1" applyBorder="1" applyAlignment="1" applyProtection="1">
      <alignment horizontal="center" vertical="center" wrapText="1"/>
      <protection locked="0"/>
    </xf>
    <xf numFmtId="0" fontId="8" fillId="0" borderId="3" xfId="2" applyFont="1" applyBorder="1" applyAlignment="1" applyProtection="1">
      <alignment horizontal="center" vertical="center" wrapText="1"/>
      <protection locked="0"/>
    </xf>
    <xf numFmtId="15" fontId="8" fillId="0" borderId="2" xfId="0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>
      <alignment horizontal="left" vertical="center" wrapText="1"/>
    </xf>
    <xf numFmtId="0" fontId="8" fillId="0" borderId="3" xfId="0" applyFont="1" applyBorder="1" applyAlignment="1" applyProtection="1">
      <alignment horizontal="center" vertical="center" wrapText="1"/>
      <protection locked="0"/>
    </xf>
    <xf numFmtId="0" fontId="6" fillId="3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</cellXfs>
  <cellStyles count="3">
    <cellStyle name="Normal" xfId="0" builtinId="0"/>
    <cellStyle name="Normal 11" xfId="2" xr:uid="{00000000-0005-0000-0000-000001000000}"/>
    <cellStyle name="Normal 1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D\ALL%20COMPLIANCE\DIREKTUR%20KEPATUHAN\LAPORAN%20BULANAN%20DIRKETUH%20KPF\Laporan%20Dirketuh%20KPF%202022\Januari%202022\Laporan%20DK%20Periode%20Jan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p"/>
      <sheetName val="Pengurus"/>
      <sheetName val="Domisili"/>
      <sheetName val="WPB"/>
      <sheetName val="Rek"/>
      <sheetName val="Vol"/>
      <sheetName val="Keu"/>
      <sheetName val="Kom"/>
      <sheetName val="Nasabah"/>
      <sheetName val="LTKM"/>
      <sheetName val="Aduan"/>
      <sheetName val="Validation"/>
      <sheetName val="Divis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90"/>
  <sheetViews>
    <sheetView tabSelected="1" view="pageBreakPreview" topLeftCell="A7" zoomScale="50" zoomScaleNormal="70" zoomScaleSheetLayoutView="50" workbookViewId="0">
      <selection activeCell="F23" sqref="F23"/>
    </sheetView>
  </sheetViews>
  <sheetFormatPr defaultColWidth="33.26953125" defaultRowHeight="26" x14ac:dyDescent="0.35"/>
  <cols>
    <col min="1" max="1" width="7" style="1" customWidth="1"/>
    <col min="2" max="2" width="29.36328125" style="1" customWidth="1"/>
    <col min="3" max="3" width="30" style="8" customWidth="1"/>
    <col min="4" max="4" width="23.7265625" style="8" bestFit="1" customWidth="1"/>
    <col min="5" max="5" width="29.7265625" style="8" customWidth="1"/>
    <col min="6" max="6" width="51.54296875" style="1" bestFit="1" customWidth="1"/>
    <col min="7" max="7" width="51.54296875" style="1" customWidth="1"/>
    <col min="8" max="8" width="56" style="8" bestFit="1" customWidth="1"/>
    <col min="9" max="9" width="44.7265625" style="1" customWidth="1"/>
    <col min="10" max="16384" width="33.26953125" style="1"/>
  </cols>
  <sheetData>
    <row r="1" spans="1:9" x14ac:dyDescent="0.35">
      <c r="A1" s="46" t="s">
        <v>15</v>
      </c>
      <c r="B1" s="46"/>
      <c r="C1" s="46"/>
      <c r="D1" s="46"/>
      <c r="E1" s="46"/>
      <c r="F1" s="46"/>
      <c r="G1" s="46"/>
      <c r="H1" s="46"/>
      <c r="I1" s="46"/>
    </row>
    <row r="2" spans="1:9" x14ac:dyDescent="0.35">
      <c r="A2" s="46" t="s">
        <v>17</v>
      </c>
      <c r="B2" s="46"/>
      <c r="C2" s="46"/>
      <c r="D2" s="46"/>
      <c r="E2" s="46"/>
      <c r="F2" s="46"/>
      <c r="G2" s="46"/>
      <c r="H2" s="46"/>
      <c r="I2" s="46"/>
    </row>
    <row r="3" spans="1:9" x14ac:dyDescent="0.35">
      <c r="A3" s="46" t="s">
        <v>99</v>
      </c>
      <c r="B3" s="46"/>
      <c r="C3" s="46"/>
      <c r="D3" s="46"/>
      <c r="E3" s="46"/>
      <c r="F3" s="46"/>
      <c r="G3" s="46"/>
      <c r="H3" s="46"/>
      <c r="I3" s="46"/>
    </row>
    <row r="4" spans="1:9" x14ac:dyDescent="0.35">
      <c r="A4" s="47" t="s">
        <v>0</v>
      </c>
      <c r="B4" s="47"/>
      <c r="C4" s="47"/>
      <c r="D4" s="47"/>
      <c r="E4" s="47"/>
      <c r="F4" s="47"/>
      <c r="G4" s="47"/>
      <c r="H4" s="47"/>
      <c r="I4" s="47"/>
    </row>
    <row r="5" spans="1:9" ht="78" x14ac:dyDescent="0.35">
      <c r="A5" s="2" t="s">
        <v>1</v>
      </c>
      <c r="B5" s="2" t="s">
        <v>4</v>
      </c>
      <c r="C5" s="2" t="s">
        <v>39</v>
      </c>
      <c r="D5" s="2" t="s">
        <v>42</v>
      </c>
      <c r="E5" s="2" t="s">
        <v>43</v>
      </c>
      <c r="F5" s="2" t="s">
        <v>44</v>
      </c>
      <c r="G5" s="2" t="s">
        <v>3</v>
      </c>
      <c r="H5" s="2" t="s">
        <v>37</v>
      </c>
      <c r="I5" s="2" t="s">
        <v>5</v>
      </c>
    </row>
    <row r="6" spans="1:9" ht="156" x14ac:dyDescent="0.35">
      <c r="A6" s="25">
        <v>1</v>
      </c>
      <c r="B6" s="26" t="s">
        <v>55</v>
      </c>
      <c r="C6" s="7" t="s">
        <v>40</v>
      </c>
      <c r="D6" s="31" t="s">
        <v>91</v>
      </c>
      <c r="E6" s="24" t="s">
        <v>35</v>
      </c>
      <c r="F6" s="34" t="s">
        <v>46</v>
      </c>
      <c r="G6" s="26" t="s">
        <v>56</v>
      </c>
      <c r="H6" s="31" t="s">
        <v>57</v>
      </c>
      <c r="I6" s="37" t="s">
        <v>92</v>
      </c>
    </row>
    <row r="7" spans="1:9" ht="130" x14ac:dyDescent="0.35">
      <c r="A7" s="25">
        <v>2</v>
      </c>
      <c r="B7" s="26" t="s">
        <v>38</v>
      </c>
      <c r="C7" s="27" t="s">
        <v>41</v>
      </c>
      <c r="D7" s="32" t="s">
        <v>96</v>
      </c>
      <c r="E7" s="28" t="s">
        <v>58</v>
      </c>
      <c r="F7" s="29" t="s">
        <v>59</v>
      </c>
      <c r="G7" s="26" t="s">
        <v>94</v>
      </c>
      <c r="H7" s="36" t="s">
        <v>93</v>
      </c>
      <c r="I7" s="26" t="s">
        <v>90</v>
      </c>
    </row>
    <row r="8" spans="1:9" ht="114" x14ac:dyDescent="0.35">
      <c r="A8" s="25">
        <v>3</v>
      </c>
      <c r="B8" s="39" t="s">
        <v>62</v>
      </c>
      <c r="C8" s="40" t="s">
        <v>63</v>
      </c>
      <c r="D8" s="41" t="s">
        <v>64</v>
      </c>
      <c r="E8" s="42" t="s">
        <v>65</v>
      </c>
      <c r="F8" s="43" t="s">
        <v>66</v>
      </c>
      <c r="G8" s="26" t="s">
        <v>100</v>
      </c>
      <c r="H8" s="44"/>
      <c r="I8" s="39"/>
    </row>
    <row r="9" spans="1:9" ht="114" x14ac:dyDescent="0.35">
      <c r="A9" s="25">
        <v>4</v>
      </c>
      <c r="B9" s="39" t="s">
        <v>62</v>
      </c>
      <c r="C9" s="40" t="s">
        <v>67</v>
      </c>
      <c r="D9" s="41" t="s">
        <v>68</v>
      </c>
      <c r="E9" s="42" t="s">
        <v>69</v>
      </c>
      <c r="F9" s="43" t="s">
        <v>66</v>
      </c>
      <c r="G9" s="26" t="s">
        <v>101</v>
      </c>
      <c r="H9" s="44"/>
      <c r="I9" s="39"/>
    </row>
    <row r="10" spans="1:9" ht="114" x14ac:dyDescent="0.35">
      <c r="A10" s="25">
        <v>5</v>
      </c>
      <c r="B10" s="39" t="s">
        <v>62</v>
      </c>
      <c r="C10" s="40" t="s">
        <v>70</v>
      </c>
      <c r="D10" s="41" t="s">
        <v>71</v>
      </c>
      <c r="E10" s="42" t="s">
        <v>69</v>
      </c>
      <c r="F10" s="43" t="s">
        <v>72</v>
      </c>
      <c r="G10" s="26" t="s">
        <v>102</v>
      </c>
      <c r="H10" s="44"/>
      <c r="I10" s="39"/>
    </row>
    <row r="11" spans="1:9" ht="114" x14ac:dyDescent="0.35">
      <c r="A11" s="25">
        <v>6</v>
      </c>
      <c r="B11" s="39" t="s">
        <v>76</v>
      </c>
      <c r="C11" s="40" t="s">
        <v>77</v>
      </c>
      <c r="D11" s="41" t="s">
        <v>78</v>
      </c>
      <c r="E11" s="42" t="s">
        <v>79</v>
      </c>
      <c r="F11" s="43" t="s">
        <v>80</v>
      </c>
      <c r="G11" s="26" t="s">
        <v>103</v>
      </c>
      <c r="H11" s="44" t="s">
        <v>98</v>
      </c>
      <c r="I11" s="39"/>
    </row>
    <row r="12" spans="1:9" ht="114" x14ac:dyDescent="0.35">
      <c r="A12" s="25">
        <v>7</v>
      </c>
      <c r="B12" s="39" t="s">
        <v>16</v>
      </c>
      <c r="C12" s="40" t="s">
        <v>81</v>
      </c>
      <c r="D12" s="41" t="s">
        <v>82</v>
      </c>
      <c r="E12" s="42">
        <v>45600</v>
      </c>
      <c r="F12" s="43" t="s">
        <v>83</v>
      </c>
      <c r="G12" s="26" t="s">
        <v>104</v>
      </c>
      <c r="H12" s="44" t="s">
        <v>98</v>
      </c>
      <c r="I12" s="39"/>
    </row>
    <row r="13" spans="1:9" ht="114" x14ac:dyDescent="0.35">
      <c r="A13" s="25">
        <v>8</v>
      </c>
      <c r="B13" s="39" t="s">
        <v>30</v>
      </c>
      <c r="C13" s="40" t="s">
        <v>84</v>
      </c>
      <c r="D13" s="41" t="s">
        <v>85</v>
      </c>
      <c r="E13" s="42">
        <v>45547</v>
      </c>
      <c r="F13" s="43" t="s">
        <v>86</v>
      </c>
      <c r="G13" s="26" t="s">
        <v>105</v>
      </c>
      <c r="H13" s="44" t="s">
        <v>98</v>
      </c>
      <c r="I13" s="39"/>
    </row>
    <row r="14" spans="1:9" ht="114" x14ac:dyDescent="0.35">
      <c r="A14" s="25">
        <v>9</v>
      </c>
      <c r="B14" s="39" t="s">
        <v>30</v>
      </c>
      <c r="C14" s="40" t="s">
        <v>87</v>
      </c>
      <c r="D14" s="41" t="s">
        <v>88</v>
      </c>
      <c r="E14" s="42">
        <v>45565</v>
      </c>
      <c r="F14" s="43" t="s">
        <v>89</v>
      </c>
      <c r="G14" s="26" t="s">
        <v>106</v>
      </c>
      <c r="H14" s="44" t="s">
        <v>98</v>
      </c>
      <c r="I14" s="39"/>
    </row>
    <row r="16" spans="1:9" x14ac:dyDescent="0.35">
      <c r="A16" s="54" t="s">
        <v>19</v>
      </c>
      <c r="B16" s="54"/>
      <c r="C16" s="54"/>
      <c r="D16" s="54"/>
      <c r="E16" s="54"/>
    </row>
    <row r="17" spans="1:9" ht="52" x14ac:dyDescent="0.35">
      <c r="A17" s="9" t="s">
        <v>1</v>
      </c>
      <c r="B17" s="9"/>
      <c r="C17" s="9" t="s">
        <v>4</v>
      </c>
      <c r="D17" s="9" t="s">
        <v>20</v>
      </c>
      <c r="E17" s="9" t="s">
        <v>9</v>
      </c>
    </row>
    <row r="18" spans="1:9" x14ac:dyDescent="0.35">
      <c r="A18" s="10">
        <v>1</v>
      </c>
      <c r="B18" s="10"/>
      <c r="C18" s="11" t="s">
        <v>21</v>
      </c>
      <c r="D18" s="11">
        <v>1</v>
      </c>
      <c r="E18" s="11">
        <v>2</v>
      </c>
    </row>
    <row r="19" spans="1:9" x14ac:dyDescent="0.35">
      <c r="A19" s="10">
        <v>2</v>
      </c>
      <c r="B19" s="10"/>
      <c r="C19" s="11" t="s">
        <v>22</v>
      </c>
      <c r="D19" s="11">
        <v>0</v>
      </c>
      <c r="E19" s="11">
        <v>1</v>
      </c>
    </row>
    <row r="20" spans="1:9" x14ac:dyDescent="0.35">
      <c r="A20" s="10">
        <v>3</v>
      </c>
      <c r="B20" s="10"/>
      <c r="C20" s="11" t="s">
        <v>23</v>
      </c>
      <c r="D20" s="11">
        <v>3</v>
      </c>
      <c r="E20" s="11">
        <v>16</v>
      </c>
    </row>
    <row r="21" spans="1:9" x14ac:dyDescent="0.35">
      <c r="A21" s="10">
        <v>4</v>
      </c>
      <c r="B21" s="10"/>
      <c r="C21" s="11" t="s">
        <v>24</v>
      </c>
      <c r="D21" s="11">
        <v>0</v>
      </c>
      <c r="E21" s="11">
        <v>3</v>
      </c>
    </row>
    <row r="22" spans="1:9" x14ac:dyDescent="0.35">
      <c r="A22" s="10">
        <v>5</v>
      </c>
      <c r="B22" s="10"/>
      <c r="C22" s="11" t="s">
        <v>25</v>
      </c>
      <c r="D22" s="11">
        <v>1</v>
      </c>
      <c r="E22" s="11">
        <v>29</v>
      </c>
    </row>
    <row r="23" spans="1:9" x14ac:dyDescent="0.35">
      <c r="A23" s="10">
        <v>6</v>
      </c>
      <c r="B23" s="10"/>
      <c r="C23" s="11" t="s">
        <v>26</v>
      </c>
      <c r="D23" s="11">
        <v>1</v>
      </c>
      <c r="E23" s="11">
        <v>2</v>
      </c>
    </row>
    <row r="24" spans="1:9" x14ac:dyDescent="0.35">
      <c r="A24" s="10">
        <v>7</v>
      </c>
      <c r="B24" s="10"/>
      <c r="C24" s="11" t="s">
        <v>27</v>
      </c>
      <c r="D24" s="11">
        <v>1</v>
      </c>
      <c r="E24" s="11">
        <v>1</v>
      </c>
    </row>
    <row r="25" spans="1:9" x14ac:dyDescent="0.35">
      <c r="A25" s="10">
        <v>8</v>
      </c>
      <c r="B25" s="10"/>
      <c r="C25" s="11" t="s">
        <v>28</v>
      </c>
      <c r="D25" s="11">
        <v>0</v>
      </c>
      <c r="E25" s="11">
        <v>0</v>
      </c>
    </row>
    <row r="26" spans="1:9" ht="52" x14ac:dyDescent="0.35">
      <c r="A26" s="10">
        <v>9</v>
      </c>
      <c r="B26" s="10"/>
      <c r="C26" s="11" t="s">
        <v>29</v>
      </c>
      <c r="D26" s="11">
        <v>2</v>
      </c>
      <c r="E26" s="11">
        <v>6</v>
      </c>
    </row>
    <row r="27" spans="1:9" x14ac:dyDescent="0.35">
      <c r="A27" s="50" t="s">
        <v>14</v>
      </c>
      <c r="B27" s="51"/>
      <c r="C27" s="52"/>
      <c r="D27" s="12">
        <v>9</v>
      </c>
      <c r="E27" s="12">
        <f>SUM(E18:E26)</f>
        <v>60</v>
      </c>
    </row>
    <row r="28" spans="1:9" x14ac:dyDescent="0.35">
      <c r="A28" s="53"/>
      <c r="B28" s="54"/>
      <c r="C28" s="55"/>
      <c r="D28" s="48"/>
      <c r="E28" s="49"/>
    </row>
    <row r="31" spans="1:9" x14ac:dyDescent="0.35">
      <c r="A31" s="47" t="s">
        <v>6</v>
      </c>
      <c r="B31" s="47"/>
      <c r="C31" s="47"/>
      <c r="D31" s="47"/>
      <c r="E31" s="47"/>
      <c r="F31" s="47"/>
      <c r="G31" s="47"/>
      <c r="H31" s="47"/>
      <c r="I31" s="47"/>
    </row>
    <row r="32" spans="1:9" ht="78" x14ac:dyDescent="0.35">
      <c r="A32" s="2" t="s">
        <v>1</v>
      </c>
      <c r="B32" s="2" t="s">
        <v>4</v>
      </c>
      <c r="C32" s="2" t="s">
        <v>39</v>
      </c>
      <c r="D32" s="2" t="s">
        <v>42</v>
      </c>
      <c r="E32" s="2" t="s">
        <v>48</v>
      </c>
      <c r="F32" s="2" t="s">
        <v>2</v>
      </c>
      <c r="G32" s="2" t="s">
        <v>44</v>
      </c>
      <c r="H32" s="2" t="s">
        <v>3</v>
      </c>
      <c r="I32" s="2" t="s">
        <v>5</v>
      </c>
    </row>
    <row r="33" spans="1:9" ht="182" x14ac:dyDescent="0.35">
      <c r="A33" s="3">
        <v>1</v>
      </c>
      <c r="B33" s="3" t="s">
        <v>38</v>
      </c>
      <c r="C33" s="4" t="s">
        <v>50</v>
      </c>
      <c r="D33" s="32" t="s">
        <v>45</v>
      </c>
      <c r="E33" s="28" t="s">
        <v>53</v>
      </c>
      <c r="F33" s="35" t="s">
        <v>36</v>
      </c>
      <c r="G33" s="35" t="s">
        <v>47</v>
      </c>
      <c r="H33" s="26" t="s">
        <v>54</v>
      </c>
      <c r="I33" s="26" t="s">
        <v>52</v>
      </c>
    </row>
    <row r="34" spans="1:9" x14ac:dyDescent="0.35">
      <c r="B34" s="1" t="s">
        <v>51</v>
      </c>
    </row>
    <row r="35" spans="1:9" x14ac:dyDescent="0.35">
      <c r="A35" s="54" t="s">
        <v>34</v>
      </c>
      <c r="B35" s="54"/>
      <c r="C35" s="54"/>
      <c r="D35" s="54"/>
      <c r="E35" s="54"/>
      <c r="F35" s="16"/>
      <c r="G35" s="16"/>
    </row>
    <row r="36" spans="1:9" x14ac:dyDescent="0.35">
      <c r="A36" s="2" t="s">
        <v>1</v>
      </c>
      <c r="B36" s="2"/>
      <c r="C36" s="2" t="s">
        <v>8</v>
      </c>
      <c r="D36" s="2" t="s">
        <v>9</v>
      </c>
      <c r="E36" s="2" t="s">
        <v>10</v>
      </c>
      <c r="F36" s="14"/>
      <c r="G36" s="14"/>
    </row>
    <row r="37" spans="1:9" x14ac:dyDescent="0.35">
      <c r="A37" s="3">
        <v>1</v>
      </c>
      <c r="B37" s="3"/>
      <c r="C37" s="3" t="s">
        <v>25</v>
      </c>
      <c r="D37" s="3">
        <v>0</v>
      </c>
      <c r="E37" s="17">
        <v>2</v>
      </c>
      <c r="F37" s="14"/>
      <c r="G37" s="14"/>
    </row>
    <row r="38" spans="1:9" x14ac:dyDescent="0.35">
      <c r="A38" s="3">
        <v>2</v>
      </c>
      <c r="B38" s="3"/>
      <c r="C38" s="3" t="s">
        <v>27</v>
      </c>
      <c r="D38" s="3">
        <v>0</v>
      </c>
      <c r="E38" s="17">
        <v>0</v>
      </c>
      <c r="F38" s="14"/>
      <c r="G38" s="14"/>
    </row>
    <row r="39" spans="1:9" x14ac:dyDescent="0.35">
      <c r="A39" s="3">
        <v>3</v>
      </c>
      <c r="B39" s="3"/>
      <c r="C39" s="3" t="s">
        <v>31</v>
      </c>
      <c r="D39" s="3">
        <v>0</v>
      </c>
      <c r="E39" s="17">
        <v>0</v>
      </c>
      <c r="F39" s="14"/>
      <c r="G39" s="14"/>
    </row>
    <row r="40" spans="1:9" x14ac:dyDescent="0.35">
      <c r="A40" s="11">
        <v>4</v>
      </c>
      <c r="B40" s="11"/>
      <c r="C40" s="11" t="s">
        <v>32</v>
      </c>
      <c r="D40" s="11">
        <v>0</v>
      </c>
      <c r="E40" s="11">
        <v>0</v>
      </c>
      <c r="F40" s="18"/>
      <c r="G40" s="18"/>
    </row>
    <row r="41" spans="1:9" x14ac:dyDescent="0.35">
      <c r="A41" s="50" t="s">
        <v>14</v>
      </c>
      <c r="B41" s="51"/>
      <c r="C41" s="52"/>
      <c r="D41" s="12">
        <f>SUM(D37:D40)</f>
        <v>0</v>
      </c>
      <c r="E41" s="12">
        <v>1</v>
      </c>
      <c r="F41" s="1" t="s">
        <v>49</v>
      </c>
    </row>
    <row r="42" spans="1:9" x14ac:dyDescent="0.35">
      <c r="A42" s="53"/>
      <c r="B42" s="54"/>
      <c r="C42" s="55"/>
      <c r="D42" s="48">
        <v>1</v>
      </c>
      <c r="E42" s="49"/>
    </row>
    <row r="43" spans="1:9" x14ac:dyDescent="0.35">
      <c r="A43" s="15"/>
      <c r="B43" s="15"/>
    </row>
    <row r="44" spans="1:9" x14ac:dyDescent="0.35">
      <c r="A44" s="15"/>
      <c r="B44" s="15"/>
    </row>
    <row r="45" spans="1:9" x14ac:dyDescent="0.35">
      <c r="A45" s="47" t="s">
        <v>7</v>
      </c>
      <c r="B45" s="47"/>
      <c r="C45" s="47"/>
      <c r="D45" s="47"/>
      <c r="E45" s="47"/>
      <c r="F45" s="47"/>
      <c r="G45" s="47"/>
      <c r="H45" s="47"/>
      <c r="I45" s="47"/>
    </row>
    <row r="46" spans="1:9" ht="78" x14ac:dyDescent="0.35">
      <c r="A46" s="2" t="s">
        <v>1</v>
      </c>
      <c r="B46" s="2" t="s">
        <v>4</v>
      </c>
      <c r="C46" s="2" t="s">
        <v>39</v>
      </c>
      <c r="D46" s="2" t="s">
        <v>42</v>
      </c>
      <c r="E46" s="2" t="s">
        <v>43</v>
      </c>
      <c r="F46" s="2" t="s">
        <v>2</v>
      </c>
      <c r="G46" s="2" t="s">
        <v>44</v>
      </c>
      <c r="H46" s="2" t="s">
        <v>3</v>
      </c>
      <c r="I46" s="2" t="s">
        <v>5</v>
      </c>
    </row>
    <row r="47" spans="1:9" ht="156" x14ac:dyDescent="0.35">
      <c r="A47" s="45">
        <v>1</v>
      </c>
      <c r="B47" s="3" t="s">
        <v>30</v>
      </c>
      <c r="C47" s="4" t="s">
        <v>73</v>
      </c>
      <c r="D47" s="38" t="s">
        <v>74</v>
      </c>
      <c r="E47" s="5" t="s">
        <v>75</v>
      </c>
      <c r="F47" s="33" t="s">
        <v>60</v>
      </c>
      <c r="G47" s="26" t="s">
        <v>61</v>
      </c>
      <c r="H47" s="30" t="s">
        <v>57</v>
      </c>
      <c r="I47" s="3" t="s">
        <v>95</v>
      </c>
    </row>
    <row r="48" spans="1:9" ht="156" x14ac:dyDescent="0.35">
      <c r="A48" s="25">
        <v>2</v>
      </c>
      <c r="B48" s="26" t="s">
        <v>55</v>
      </c>
      <c r="C48" s="7" t="s">
        <v>40</v>
      </c>
      <c r="D48" s="31" t="s">
        <v>91</v>
      </c>
      <c r="E48" s="24" t="s">
        <v>35</v>
      </c>
      <c r="F48" s="34" t="s">
        <v>46</v>
      </c>
      <c r="G48" s="26" t="s">
        <v>56</v>
      </c>
      <c r="H48" s="31" t="s">
        <v>97</v>
      </c>
      <c r="I48" s="37"/>
    </row>
    <row r="49" spans="1:7" x14ac:dyDescent="0.35">
      <c r="A49" s="15"/>
      <c r="B49" s="15"/>
    </row>
    <row r="50" spans="1:7" x14ac:dyDescent="0.35">
      <c r="A50" s="54" t="s">
        <v>33</v>
      </c>
      <c r="B50" s="54"/>
      <c r="C50" s="54"/>
      <c r="D50" s="54"/>
      <c r="E50" s="54"/>
    </row>
    <row r="51" spans="1:7" x14ac:dyDescent="0.35">
      <c r="A51" s="2" t="s">
        <v>1</v>
      </c>
      <c r="B51" s="2"/>
      <c r="C51" s="2" t="s">
        <v>8</v>
      </c>
      <c r="D51" s="2" t="s">
        <v>9</v>
      </c>
      <c r="E51" s="2" t="s">
        <v>10</v>
      </c>
    </row>
    <row r="52" spans="1:7" x14ac:dyDescent="0.35">
      <c r="A52" s="6">
        <v>1</v>
      </c>
      <c r="B52" s="6"/>
      <c r="C52" s="6" t="s">
        <v>25</v>
      </c>
      <c r="D52" s="6">
        <v>0</v>
      </c>
      <c r="E52" s="19">
        <v>2</v>
      </c>
    </row>
    <row r="53" spans="1:7" x14ac:dyDescent="0.35">
      <c r="A53" s="48" t="s">
        <v>14</v>
      </c>
      <c r="B53" s="56"/>
      <c r="C53" s="49"/>
      <c r="D53" s="48">
        <v>2</v>
      </c>
      <c r="E53" s="49"/>
    </row>
    <row r="54" spans="1:7" x14ac:dyDescent="0.35">
      <c r="A54" s="20"/>
      <c r="B54" s="20"/>
      <c r="C54" s="1"/>
      <c r="D54" s="1"/>
    </row>
    <row r="55" spans="1:7" x14ac:dyDescent="0.35">
      <c r="A55" s="15"/>
      <c r="B55" s="15"/>
    </row>
    <row r="56" spans="1:7" x14ac:dyDescent="0.35">
      <c r="A56" s="54" t="s">
        <v>18</v>
      </c>
      <c r="B56" s="54"/>
      <c r="C56" s="54"/>
      <c r="D56" s="54"/>
      <c r="E56" s="54"/>
      <c r="F56" s="13"/>
      <c r="G56" s="13"/>
    </row>
    <row r="57" spans="1:7" x14ac:dyDescent="0.35">
      <c r="A57" s="2" t="s">
        <v>1</v>
      </c>
      <c r="B57" s="2"/>
      <c r="C57" s="2" t="s">
        <v>8</v>
      </c>
      <c r="D57" s="2" t="s">
        <v>9</v>
      </c>
      <c r="E57" s="2" t="s">
        <v>10</v>
      </c>
      <c r="F57" s="21"/>
      <c r="G57" s="14"/>
    </row>
    <row r="58" spans="1:7" x14ac:dyDescent="0.35">
      <c r="A58" s="6">
        <v>1</v>
      </c>
      <c r="B58" s="22"/>
      <c r="C58" s="6" t="s">
        <v>11</v>
      </c>
      <c r="D58" s="6">
        <v>59</v>
      </c>
      <c r="E58" s="19">
        <v>14</v>
      </c>
      <c r="F58" s="21"/>
      <c r="G58" s="14"/>
    </row>
    <row r="59" spans="1:7" x14ac:dyDescent="0.35">
      <c r="A59" s="6">
        <v>2</v>
      </c>
      <c r="B59" s="6"/>
      <c r="C59" s="6" t="s">
        <v>12</v>
      </c>
      <c r="D59" s="6">
        <v>0</v>
      </c>
      <c r="E59" s="19">
        <v>1</v>
      </c>
      <c r="F59" s="21"/>
      <c r="G59" s="14"/>
    </row>
    <row r="60" spans="1:7" x14ac:dyDescent="0.35">
      <c r="A60" s="6">
        <v>3</v>
      </c>
      <c r="B60" s="6"/>
      <c r="C60" s="6" t="s">
        <v>13</v>
      </c>
      <c r="D60" s="6">
        <v>0</v>
      </c>
      <c r="E60" s="19">
        <v>2</v>
      </c>
      <c r="F60" s="21"/>
      <c r="G60" s="14"/>
    </row>
    <row r="61" spans="1:7" x14ac:dyDescent="0.35">
      <c r="A61" s="48" t="s">
        <v>14</v>
      </c>
      <c r="B61" s="56"/>
      <c r="C61" s="49"/>
      <c r="D61" s="12">
        <v>0</v>
      </c>
      <c r="E61" s="12">
        <v>17</v>
      </c>
      <c r="F61" s="23"/>
      <c r="G61" s="18"/>
    </row>
    <row r="62" spans="1:7" x14ac:dyDescent="0.35">
      <c r="A62" s="15"/>
      <c r="B62" s="15"/>
    </row>
    <row r="74" spans="1:2" x14ac:dyDescent="0.35">
      <c r="A74" s="13"/>
      <c r="B74" s="13"/>
    </row>
    <row r="75" spans="1:2" x14ac:dyDescent="0.35">
      <c r="A75" s="14"/>
      <c r="B75" s="14"/>
    </row>
    <row r="76" spans="1:2" x14ac:dyDescent="0.35">
      <c r="A76" s="15"/>
      <c r="B76" s="15"/>
    </row>
    <row r="77" spans="1:2" x14ac:dyDescent="0.35">
      <c r="A77" s="15"/>
      <c r="B77" s="15"/>
    </row>
    <row r="78" spans="1:2" x14ac:dyDescent="0.35">
      <c r="A78" s="15"/>
      <c r="B78" s="15"/>
    </row>
    <row r="79" spans="1:2" x14ac:dyDescent="0.35">
      <c r="A79" s="15"/>
      <c r="B79" s="15"/>
    </row>
    <row r="80" spans="1:2" x14ac:dyDescent="0.35">
      <c r="A80" s="15"/>
      <c r="B80" s="15"/>
    </row>
    <row r="81" spans="1:2" x14ac:dyDescent="0.35">
      <c r="A81" s="15"/>
      <c r="B81" s="15"/>
    </row>
    <row r="82" spans="1:2" x14ac:dyDescent="0.35">
      <c r="A82" s="15"/>
      <c r="B82" s="15"/>
    </row>
    <row r="83" spans="1:2" x14ac:dyDescent="0.35">
      <c r="A83" s="15"/>
      <c r="B83" s="15"/>
    </row>
    <row r="84" spans="1:2" x14ac:dyDescent="0.35">
      <c r="A84" s="15"/>
      <c r="B84" s="15"/>
    </row>
    <row r="85" spans="1:2" x14ac:dyDescent="0.35">
      <c r="A85" s="15"/>
      <c r="B85" s="15"/>
    </row>
    <row r="86" spans="1:2" x14ac:dyDescent="0.35">
      <c r="A86" s="15"/>
      <c r="B86" s="15"/>
    </row>
    <row r="87" spans="1:2" x14ac:dyDescent="0.35">
      <c r="A87" s="15"/>
      <c r="B87" s="15"/>
    </row>
    <row r="88" spans="1:2" x14ac:dyDescent="0.35">
      <c r="A88" s="15"/>
      <c r="B88" s="15"/>
    </row>
    <row r="89" spans="1:2" x14ac:dyDescent="0.35">
      <c r="A89" s="15"/>
      <c r="B89" s="15"/>
    </row>
    <row r="90" spans="1:2" x14ac:dyDescent="0.35">
      <c r="A90" s="15"/>
      <c r="B90" s="15"/>
    </row>
  </sheetData>
  <autoFilter ref="A5:I5" xr:uid="{00000000-0001-0000-0000-000000000000}"/>
  <mergeCells count="17">
    <mergeCell ref="A61:C61"/>
    <mergeCell ref="A53:C53"/>
    <mergeCell ref="D53:E53"/>
    <mergeCell ref="A50:E50"/>
    <mergeCell ref="A56:E56"/>
    <mergeCell ref="A2:I2"/>
    <mergeCell ref="A1:I1"/>
    <mergeCell ref="A31:I31"/>
    <mergeCell ref="A45:I45"/>
    <mergeCell ref="A3:I3"/>
    <mergeCell ref="D28:E28"/>
    <mergeCell ref="A27:C28"/>
    <mergeCell ref="A41:C42"/>
    <mergeCell ref="A4:I4"/>
    <mergeCell ref="A16:E16"/>
    <mergeCell ref="A35:E35"/>
    <mergeCell ref="D42:E42"/>
  </mergeCells>
  <pageMargins left="0.7" right="0.7" top="0.75" bottom="0.75" header="0.3" footer="0.3"/>
  <pageSetup paperSize="9" scale="40" fitToHeight="0" orientation="landscape" r:id="rId1"/>
  <rowBreaks count="4" manualBreakCount="4">
    <brk id="30" max="8" man="1"/>
    <brk id="33" max="18" man="1"/>
    <brk id="44" max="8" man="1"/>
    <brk id="6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</vt:lpstr>
      <vt:lpstr>ALL!Print_Area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Fadly Kepatuhan</cp:lastModifiedBy>
  <cp:lastPrinted>2026-01-20T09:22:50Z</cp:lastPrinted>
  <dcterms:created xsi:type="dcterms:W3CDTF">2022-03-04T10:11:13Z</dcterms:created>
  <dcterms:modified xsi:type="dcterms:W3CDTF">2026-03-05T09:02:11Z</dcterms:modified>
</cp:coreProperties>
</file>