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4A7B3326-8358-4DC4-855A-77E2F8174F1E}" xr6:coauthVersionLast="47" xr6:coauthVersionMax="47" xr10:uidLastSave="{00000000-0000-0000-0000-000000000000}"/>
  <bookViews>
    <workbookView xWindow="-108" yWindow="-108" windowWidth="23256" windowHeight="12456" firstSheet="1" activeTab="1" xr2:uid="{FE3EA6E6-F72C-4C2B-9812-91AB5B32C3F4}"/>
  </bookViews>
  <sheets>
    <sheet name="Sheet1" sheetId="1" r:id="rId1"/>
    <sheet name="PENGADUAN SEBELUM PEMBEKUAN" sheetId="3" r:id="rId2"/>
    <sheet name="PENGADUAN SETELAH PEMBEKUAN" sheetId="4" r:id="rId3"/>
    <sheet name="PENGADUAN AXA"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6" i="1" l="1"/>
  <c r="D16" i="1"/>
  <c r="C16" i="1"/>
  <c r="F16" i="1"/>
</calcChain>
</file>

<file path=xl/sharedStrings.xml><?xml version="1.0" encoding="utf-8"?>
<sst xmlns="http://schemas.openxmlformats.org/spreadsheetml/2006/main" count="374" uniqueCount="246">
  <si>
    <t>No</t>
  </si>
  <si>
    <t>Cabang</t>
  </si>
  <si>
    <t>JOIN SEBELUM PAKTA INT</t>
  </si>
  <si>
    <t>JOIN SESUDAH PAKTA INT</t>
  </si>
  <si>
    <t>BELUM SELESAI</t>
  </si>
  <si>
    <t>Total</t>
  </si>
  <si>
    <t>Tercapai Kesepakatan Perdamaian sebanyak 6 nasabah, dengan rincian sebagai berikut:</t>
  </si>
  <si>
    <t>NO</t>
  </si>
  <si>
    <t>CABANG</t>
  </si>
  <si>
    <t>NASABAH / AKUN</t>
  </si>
  <si>
    <t>STATUS PENGADUAN</t>
  </si>
  <si>
    <t>KETERANGAN</t>
  </si>
  <si>
    <t>TGL JOIN &amp; MARGIN AWAL</t>
  </si>
  <si>
    <t>NET MARGIN</t>
  </si>
  <si>
    <t>REKAP PENGADUAN PT. RIFAN FINANCINDO BERJANGKA</t>
  </si>
  <si>
    <t>PUSAT</t>
  </si>
  <si>
    <t>SBY-CW</t>
  </si>
  <si>
    <t xml:space="preserve">MEDAN </t>
  </si>
  <si>
    <t>PKU</t>
  </si>
  <si>
    <t>SOLO</t>
  </si>
  <si>
    <t>JKT-DBS</t>
  </si>
  <si>
    <t>YGY</t>
  </si>
  <si>
    <t>BDG</t>
  </si>
  <si>
    <t>SMG</t>
  </si>
  <si>
    <t>SBY-PKW</t>
  </si>
  <si>
    <t>PLB</t>
  </si>
  <si>
    <t>BPP</t>
  </si>
  <si>
    <t>Total Semua Pengaduan PT. Rifan Financindo Berjangka All Cabang ada 31 Pengaduan</t>
  </si>
  <si>
    <t>ALL PENGADUAN</t>
  </si>
  <si>
    <t>AXA</t>
  </si>
  <si>
    <t>UNSUR PIDANA</t>
  </si>
  <si>
    <t>NASABAH AXA</t>
  </si>
  <si>
    <t xml:space="preserve"> - Total = 14</t>
  </si>
  <si>
    <t>AXA 3</t>
  </si>
  <si>
    <t>AYUNDA AUGUSTEN / RAOD3623</t>
  </si>
  <si>
    <t>Rp.399.200.000,</t>
  </si>
  <si>
    <t>SEDANG DIPERIKSA</t>
  </si>
  <si>
    <t>ROBBY TUNGGAL ALAM / RANA223</t>
  </si>
  <si>
    <t>Rp.84.000.000,-</t>
  </si>
  <si>
    <t>SEDANG PENJADWALAN PEMERIKSAAN</t>
  </si>
  <si>
    <t>ENI RUSIANI / RANA2161</t>
  </si>
  <si>
    <t>Rp.36.300.000,-</t>
  </si>
  <si>
    <t>Rp.137.130.000,</t>
  </si>
  <si>
    <t>SEP SAEPUDIN HIDAYAT / RANA2070</t>
  </si>
  <si>
    <t xml:space="preserve">FACHLUL INFITHAR / RAOD3362, RANK2425 &amp; RANK2428 </t>
  </si>
  <si>
    <t>Rp.100.000.000, Rp.640.410.000, Rp.108.570.000,</t>
  </si>
  <si>
    <t>BELUM DIPERIKSA</t>
  </si>
  <si>
    <t>AXA 2</t>
  </si>
  <si>
    <t>MOHAMMAD RIZKI YUDOMO / RAOK7235</t>
  </si>
  <si>
    <t>Rp.100.000.000,-</t>
  </si>
  <si>
    <t>FATMA DWI AMARTANI / RAPM6307</t>
  </si>
  <si>
    <t>Rp.1.547.993.000</t>
  </si>
  <si>
    <t>AXA 1</t>
  </si>
  <si>
    <t>ANG CHIU HOON / RAPQ6267</t>
  </si>
  <si>
    <t>Rp.1.045..946.100,-</t>
  </si>
  <si>
    <t>LAURA AZANI / RAOY6912</t>
  </si>
  <si>
    <t>Rp.95.871.000,-</t>
  </si>
  <si>
    <t xml:space="preserve">BELUM DIPERIKSA </t>
  </si>
  <si>
    <t>HT SIMATUPANG / RAQF7710</t>
  </si>
  <si>
    <t>EUIS KULSUM / RAQC7784</t>
  </si>
  <si>
    <t>HANZ AGUS RIVAI / RAPY6308 &amp; RAPY6348</t>
  </si>
  <si>
    <t>04/03/2020 -  MA 100JT</t>
  </si>
  <si>
    <t>15/11/2017 - MA 100JT</t>
  </si>
  <si>
    <t>26/09/2017- MA 100JT</t>
  </si>
  <si>
    <t>07/07/2017 - MA 200JT</t>
  </si>
  <si>
    <t>4 November 2019 - MA 100JT, 27 Maret 2018 - MA 500JT, 11 April 2018 - MA 200JT</t>
  </si>
  <si>
    <t>07/02/2022 - MA 120JT</t>
  </si>
  <si>
    <t>12/09/2024 - 100JT</t>
  </si>
  <si>
    <t xml:space="preserve">19/04/2024 - MA 100JT </t>
  </si>
  <si>
    <t>08/12/2023 - MA 100JT</t>
  </si>
  <si>
    <t>25/08/2025 - MA 100JT</t>
  </si>
  <si>
    <t>02/10/2025 - MA 100JT</t>
  </si>
  <si>
    <t>15 Mei 2024 - MA 500JT &amp; 10 September 2024 - MA 500JT</t>
  </si>
  <si>
    <t>Rp.2.320.381.80</t>
  </si>
  <si>
    <t xml:space="preserve">H LULUK SUMIARSO / RAPY6270 &amp; RAPY6376 </t>
  </si>
  <si>
    <t xml:space="preserve">5 Januari 2024 - MA 100JT &amp;  27 Januari 2025 - MA 100JT </t>
  </si>
  <si>
    <t>Rp.1.857.712.000,- &amp; Rp.84.000.000,-</t>
  </si>
  <si>
    <t>IR MOH NUR ADIB / RAQL7937</t>
  </si>
  <si>
    <t>07 Januari 2026 - MA 100JT</t>
  </si>
  <si>
    <t>Rp.3.190.000.000</t>
  </si>
  <si>
    <t xml:space="preserve"> - Proses pemeriksaan Bappebti = 2</t>
  </si>
  <si>
    <t xml:space="preserve"> - Nasabah tidak memanfaatkan sarana Mediasi BBJ = -</t>
  </si>
  <si>
    <t xml:space="preserve"> - Belum  pemeriksaan Bappebti = 9</t>
  </si>
  <si>
    <t>Sulit mencari keterangan yang jelas karena marketing resign. Transfer sebelum regol. WPB  tidak aktif. Akun nasabah sudah close pada tgl 30 Juli 2020</t>
  </si>
  <si>
    <t xml:space="preserve">Sulit mencari keterangan yang jelas karena marketing resign. Marketing adalah keluarga kandung. </t>
  </si>
  <si>
    <t xml:space="preserve">Sulit mencari keterangan yang jelas karena marketing resign. Marketing adalah keluarga kandung.Akun nasabah sudah close pada tgl 29 September 2017 </t>
  </si>
  <si>
    <t>Sulit mencari keterangan yang jelas karena marketing resign. Marketing adalah keluarga kandung. Akun nasabah sudah close pada tgl 17 April 2020</t>
  </si>
  <si>
    <t>Sulit mencari keterangan yang jelas karena marketing resign. Transfer sebelum regol. WPB  tidak aktif. Akun nasabah RANK2425 RANK2428 sudah close pada tgl 10 Maret 2020</t>
  </si>
  <si>
    <t>Tidak ada kelemahan dari sisi administrasi, nasabah pada saat regol tidak didampingi WPB</t>
  </si>
  <si>
    <t>Tidak ada kelemahan dari sisi administrasi, arahan transaksi marketing</t>
  </si>
  <si>
    <t>Tidak ada kelemahan dari sisi administrasi, arahan transaksi</t>
  </si>
  <si>
    <t>Arahan transaksi marketing</t>
  </si>
  <si>
    <t>Tidak ada kelemahan dari sisi administrasi, registrasi dan transaksi dilakukan oleh nasabah</t>
  </si>
  <si>
    <t>Mantan marketing an. Susan ikut bantu transaksikan tanpa sepengatahuan perusahaan dan bagi hasil dalm penarikan dana dengan nasabah</t>
  </si>
  <si>
    <t>Mantan marketing an. Susan ikut bantu transaksikan</t>
  </si>
  <si>
    <t xml:space="preserve"> - Total = 15</t>
  </si>
  <si>
    <t xml:space="preserve"> - Nasabah tidak memanfaatkan sarana Mediasi BBJ = </t>
  </si>
  <si>
    <t xml:space="preserve"> - Proses pemeriksaan Bappebti = </t>
  </si>
  <si>
    <t xml:space="preserve"> - Belum mediasi di BBJ = </t>
  </si>
  <si>
    <t>NASABAH RFB JOIN SESUDAH PAKTA INTEGRITAS</t>
  </si>
  <si>
    <t>PUSAT AXA-2</t>
  </si>
  <si>
    <t>Rp 100.000.000</t>
  </si>
  <si>
    <t>PENAWARAN 30 %, BUKTI REKAMAN PRA REGOL, PENGISIAN REGOL, VERIF WPB DAN AKTIVASI KACAB</t>
  </si>
  <si>
    <t>PUSAT AXA-1</t>
  </si>
  <si>
    <t>MOHAMMAD RIZKI  YUDOMO / RAOK7235</t>
  </si>
  <si>
    <t>ANG CHIU HOON / RAOP6267</t>
  </si>
  <si>
    <t>19 APRIL 2024 / Rp 100.000.000</t>
  </si>
  <si>
    <t>Rp 1.045.946.100</t>
  </si>
  <si>
    <t>BELUM DIPERIKSA, BELUM ADA GUGATAN</t>
  </si>
  <si>
    <t>TIDAK ADA PENAWARAN, BUKTI REKAMAN PRA REGOL, PENGISIAN REGOL, SIMULASI DEMO, VERIF WPB DAN AKTIVASI KACAB, REKAMAN KUNJUNGAN NASABAH.</t>
  </si>
  <si>
    <t xml:space="preserve">PUSAT AXA-2 </t>
  </si>
  <si>
    <t>08 DES 2023 / Rp 100.000.000</t>
  </si>
  <si>
    <t>Rp 95.871.000</t>
  </si>
  <si>
    <t>PENAWARAN 30%, BUKTI REKAMAN PRA REGOL, VERIF WPB DAN AKTIVASI KACAB</t>
  </si>
  <si>
    <t>HT SIMATUPANG / RAOQF7710</t>
  </si>
  <si>
    <t>25 AGUSTUS 2025 / Rp 100.000.000</t>
  </si>
  <si>
    <t>PENAWARAN 30%, BUKTI REKAMAN PRA REGOL, PENGISIAN REGOL, VERIF WPB DAN AKTIVASI KACAB</t>
  </si>
  <si>
    <t>02 OKT 2025 / Rp 100.000.000</t>
  </si>
  <si>
    <t>07 JANUARI 2026 / Rp 100.000.000</t>
  </si>
  <si>
    <t>Rp 3.190.000.000</t>
  </si>
  <si>
    <t>BELUM ADA PENAWARAN KARENA MARGIN BESAR, BUKTI REKAMAN PRA REGOL, PENGISIAN REGOL, VERIF WPB DAN AKTIVASI KACAB</t>
  </si>
  <si>
    <t>PUSAT AXA-3</t>
  </si>
  <si>
    <t>15 MEI 2024 &amp; 10 SEPT 2024 / Rp 500.000.000 (keduanya)</t>
  </si>
  <si>
    <t>Rp 2.320.381.800</t>
  </si>
  <si>
    <t>TIDAK ADA PENAWARAN, BUKTI REKAMAN PRA REGOL, VERIFIKASI WPB DAN AKTIVASI KACAB</t>
  </si>
  <si>
    <t>H LULUK SUMIARSO / RAPY6270 &amp; RAPY6376</t>
  </si>
  <si>
    <t>Rp 1.857.712.000 &amp; Rp 84.000.000</t>
  </si>
  <si>
    <t>TIDAK ADA PENAWARAN, BUKTI REKAMAN PRA REGOL, VERIF WPB DAN AKTIVASI KACAB</t>
  </si>
  <si>
    <t xml:space="preserve">ROMY HERMAWAN / RJAZ3155 </t>
  </si>
  <si>
    <t>30 OCT 2024 / Rp 500.000.000</t>
  </si>
  <si>
    <t>Rp 500.000.000</t>
  </si>
  <si>
    <t>PENAWARAN FEE TRANSAKSI, TIM MARKETING MENEMUI NASABAH GUNA MENYELESAIKAN SECARA PERSUASIF, BUKTI REKAMAN PRA REGOL, VERIF WPB DAN AKTIVASI KACAB</t>
  </si>
  <si>
    <t>YULIANA ASTUTIK / RJAJ3175 &amp; RJAJ3197</t>
  </si>
  <si>
    <t>5 JANUARI 2024 &amp; 27 JANUARI 2025 / Rp 100.000.000 (keduanya)</t>
  </si>
  <si>
    <t>25 DES 2024 &amp; 13 MARET 2025 / Rp 50.000.000 &amp; Rp 100.000.000</t>
  </si>
  <si>
    <t>Rp 47.000.000 &amp; Rp 94.500.000</t>
  </si>
  <si>
    <t>ZAINAL ABIDIN / RGDN3168</t>
  </si>
  <si>
    <t xml:space="preserve">29 JAN 2024 / Rp 150.000.000 </t>
  </si>
  <si>
    <t>Rp 150.000.000</t>
  </si>
  <si>
    <t>PENAWARAN  FEE TRANSAKSI, BUKTI REKAMAN PRA REGOL, PENGISIAN REGOL, VERIF WPB DAN AKTIVASI KACAB</t>
  </si>
  <si>
    <t xml:space="preserve">PKU </t>
  </si>
  <si>
    <t>FITRUS / RGNQ3226</t>
  </si>
  <si>
    <t>09 APRIL 2025 / Rp 100.000.000</t>
  </si>
  <si>
    <t>Rp 1.480.500.000</t>
  </si>
  <si>
    <t>Rp 253.808.000</t>
  </si>
  <si>
    <t>SRI WAHYUNI / RLAQ1013</t>
  </si>
  <si>
    <t>12 SEPT 2024 / Rp 100.000.000</t>
  </si>
  <si>
    <t>22 AGUST 2022 / Rp 200.000.000</t>
  </si>
  <si>
    <t>DAVID LISANJAYA</t>
  </si>
  <si>
    <t>DAVID LISANJAYA / RGNO1699</t>
  </si>
  <si>
    <t>19 JULI 2017 / Rp 100.000.000</t>
  </si>
  <si>
    <t>Rp 4.807.190.000</t>
  </si>
  <si>
    <t>BELUM ADA GUGATAN</t>
  </si>
  <si>
    <t>SUDAH DIPERIKSA. SURAT PERINGATAN 19 FEB 2024. Musyawarah dipialang 1 juli 2025 dan tidak terjadi kesepakatan, musyawarah dipialang tgl 1 desember 2025 tidak terjadi kesepakatan, musyawarah lagi dipialang tgl 8 Januari 2026 juga tidak terjadi kesepakatan. Nasabah menolak penawaran kompensasi sebesar Rp 150.000.000 dari PT RFB, nasabah meminta 80%. ARAHKAN BAKTI.</t>
  </si>
  <si>
    <t>CHRISTINA BUDI ANGGRAINI / RDSB0768</t>
  </si>
  <si>
    <t>24 JUNI 2021 / Rp 300.000.000</t>
  </si>
  <si>
    <t>Rp 981.000.000</t>
  </si>
  <si>
    <t>SUDAH DIPERIKSA. SURAT PERINGATAN 9 Januari 2025. Musyawarah pialang 27 okt 2025 dan tidak ada kesepakatan, musyawarah pialang kembali ditanggal 27 nov 2025 tidak terjadi kesepakatan, musyawarah pialang lagi tanggal 24 desember 2025 juga tidak terjadi kesepakatan. Nasabah menolak penawaran kompensasi sebesar Rp 350.000.000 dari PT RFB. Nasabah meminta 100%. ARAHKAN BAKTI.</t>
  </si>
  <si>
    <t>ABDUN NASIR / RDSB0581 &amp; RDSB0676</t>
  </si>
  <si>
    <t>Rp 216.000.000 &amp; Rp 95.000.000</t>
  </si>
  <si>
    <t>16 NOV 2020 - MA Rp 100.000.000&amp; 23 MARET 2021 - MA Rp 100.000.000</t>
  </si>
  <si>
    <t>SUDAH DIPERIKSA. SURAT PERINGATAN 15 FEB 2024. Musyawarah pialang 30 okt 2025 dan tidak terjadi kesepakatan. Musyawarah pialang tgl 1 des 2025 tidak terjadi kesepakatan. Nasabah menyatakan menolak penawaran 30%, nasabah meminta 100% sehingga cabang tidak melakukan penawaran lagi. ARAHKAN BAKTI.</t>
  </si>
  <si>
    <t>MEDAN</t>
  </si>
  <si>
    <t>Ir AIYUB / RPX93722</t>
  </si>
  <si>
    <t>03 NOV 2021 / Rp 2.000.000.000</t>
  </si>
  <si>
    <t>Rp 2.000.000.000</t>
  </si>
  <si>
    <t>SUDAH DIPERIKSA. SURAT PERINGATAN 16 MEI 2023. Musyawarah dipialang tgl 27 okt 2025 dan tidak terjadi kesepakatan. Nasabah mengatakan menolak penawaran Rp 200.000.000 jika masih belum 100% margin, sehingga cabang belum ada penawaran lagi. ARAHKAN BAKTI.</t>
  </si>
  <si>
    <t>LINDA / RJAV2917 &amp; RJAV2918</t>
  </si>
  <si>
    <t>26 NOV 2021 - MA Rp 300.000.000&amp; 29 NOV 2021 - MA Rp 400.000.000</t>
  </si>
  <si>
    <t>Rp 450.000.000 &amp; Rp 899.000.000</t>
  </si>
  <si>
    <t>SUDAH DIPERIKSA. SURAT PERINGATAN 4 FEB 2026. Musyawarah pialang 22 okt 2025 dan tidak terjadi kesepakatan. Musyawarah pialang 1 des 2025 tidak terjadi kesepakatan. Musyawarah pialang 23 feb 2026 tidak terjadi kesepakatan. Nasabah menyatakan menolak penawaran Rp 100.000.000 jika tidak 100% margin. ARAHKAN BAKTI.</t>
  </si>
  <si>
    <t>DBS</t>
  </si>
  <si>
    <t>MARIAM / RDNJ3353</t>
  </si>
  <si>
    <t>8 AGUSTUS 2025 / Rp 100.000.000</t>
  </si>
  <si>
    <t>BELUM ADA PENAWARAN, BUKTI REKAMAN PRA REGOL, PENGISIAN REGOL, SIMULASI DEMO, VERIF WPB DAN AKTIVASI KACAB</t>
  </si>
  <si>
    <t>BELUM ADA PENAWARAN, BUKTI REKAMAN PRA REGOL, SIMULASI DEMO, PENGISIAN REGOL, VERIF WPB DAN AKTIVASI KACAB</t>
  </si>
  <si>
    <t>ABDUL BAHUD SIAGIAN / RPY94593</t>
  </si>
  <si>
    <t>22 DES 2025 / Rp 100.000.000</t>
  </si>
  <si>
    <t>Rp 954.000.000</t>
  </si>
  <si>
    <t xml:space="preserve"> - Belum  pemeriksaan Bappebti = 15</t>
  </si>
  <si>
    <t>NASABAH RFB JOIN SEBELUM PAKTA INTEGRITAS</t>
  </si>
  <si>
    <t>ROEDYANTO / RAPS6066 &amp; RAPS6090</t>
  </si>
  <si>
    <t>6 JANUARI 2022 - MA Rp 100.000.000 / 14 JANUARI 2022 - MA Rp 100.000.000</t>
  </si>
  <si>
    <t>Rp 12.964.418.000 &amp; Rp 2.920.194.000</t>
  </si>
  <si>
    <t>SUDAH DIPERIKSA, SURAT PERINGATAN 19 MEI 2025, SUDAH GUGAT BANDING</t>
  </si>
  <si>
    <t>MARGIN TERLALU BESAR, SEHINGGA TIDAK MASUK DALAM PRIORITAS PENYELESAIAN KARENA NASABAH MENGINGINKAN PENGEMBALIAN MARGIN 100%</t>
  </si>
  <si>
    <t>PENAWARAN FEE TRANSAKSI Rp 32.250.000 DITOLAK, NASABAH INGIN 100%</t>
  </si>
  <si>
    <t>SEDANG DIPERIKSA, BELUM ADA GUGATAN</t>
  </si>
  <si>
    <t>Rp 1.547.993.000</t>
  </si>
  <si>
    <t>FATMA DWI AMARTANI  / RAPM6307</t>
  </si>
  <si>
    <t>Rp 399.200.000</t>
  </si>
  <si>
    <t>TAWARAN FEE TRANSAKSI DAN MELIBATKAN MARKETING YANG SUDAH RESIGN DALAM PENYELESAIAN, NASABAH MENGINGINKAN 100%</t>
  </si>
  <si>
    <t>TIDAK ADA PENAWARAN KARENA CASE DIHASUT OLEH MANTAN MARKETING YAITU INTAN, ACCOUNT MASIH ADA SISA Rp 125.000, NASABAH MENGINGINKAN 100%</t>
  </si>
  <si>
    <t>SEDANG PENJADWALAN PEMERIKSAAN, BELUM ADA GUGATAN</t>
  </si>
  <si>
    <t>Rp 36.300.000</t>
  </si>
  <si>
    <t>ROBBY TUNGGAL ALAM / RANA2230</t>
  </si>
  <si>
    <t>Rp 84.000.000</t>
  </si>
  <si>
    <t>TIDAK ADA PENAWARAN KARENA CASE DIHASUT OLEH MANTAN MARKETING YAITU INTAN, ACCOUNT SUDAH CLOSE TGL 29 SEPT 2017, NASABAH MENGINGINKAN 100%</t>
  </si>
  <si>
    <t>TIDAK ADA PENAWARAN KARENA CASE DIHASUT OLEH MANTAN MARKETING YAITU INTAN, ACCOUNT SUDAH CLOSE 17 APRIL 2018, NASABAH MENGIGINKAN 100%</t>
  </si>
  <si>
    <t>Rp 137.130.000</t>
  </si>
  <si>
    <t>ASEP SAEPUDIN HIDAYAT / RANA2070</t>
  </si>
  <si>
    <t>FACHLUL INFITHAR / RAOD3362, RANK2425 &amp; RANK2428</t>
  </si>
  <si>
    <t>4 NOV 2019 - MA Rp 100.000.000 / 27 MARET 2018 - MA Rp 500.000.000 / 11 APRIL 2018 - MA Rp 200.000.0000</t>
  </si>
  <si>
    <t>Rp 100.000.000 / Rp 640.410.000 / Rp 108.570.000</t>
  </si>
  <si>
    <t>TIDAK ADA PENAWARAN LAGI KARENA NASABAH MENOLAK PENAWARAN 80% PADA SAAT PEMBEKUAN, NASABAH MENGINGINKAN 100%</t>
  </si>
  <si>
    <t>SUDAH DIPERIKSA, SURAT PERINGATAN 22 JULI 2024, BELUM ADA GUGATAN</t>
  </si>
  <si>
    <t>Rp 81.100.000</t>
  </si>
  <si>
    <t>ANTON PURNOMO / RJAW2804</t>
  </si>
  <si>
    <t>26 NOV 2021 - MA Rp 300.000.000 &amp; 29 NOV 2021 - MA Rp 400.000.000</t>
  </si>
  <si>
    <t>SUDAH DIPERIKSA, SURAT PERINGATAN 4 FEB 2026, BELUM ADA GUGATAN</t>
  </si>
  <si>
    <t>PENAWARAN Rp 100.000.000 DITOLAK, NASABAH MENGINGINKAN 100%</t>
  </si>
  <si>
    <t>PENAWARAN Rp 150.000.000 DITOLAK, NASABAH MENGINGINKAN 100%</t>
  </si>
  <si>
    <t>SUDAH DIPERIKSA, SURAT PERINGATAN 16 MEI 2023, BELUM ADA GUGATAN</t>
  </si>
  <si>
    <t>FARHAN CH,SE, SH, MH / RPM92340 &amp; RPM92379</t>
  </si>
  <si>
    <t xml:space="preserve">16 NOV 2017 - MA Rp 100.000.000 &amp; 3 Januari 2018 - MA Rp 200.000.000 </t>
  </si>
  <si>
    <t>Rp 988.000.000 &amp; Rp 288.200.000</t>
  </si>
  <si>
    <t>PENAWARAN Rp 70.000.000 DITOLAK, NASABAH MENGINGINKAN 100%</t>
  </si>
  <si>
    <t>PENAWARAN 30% DITOLAK, NASABAH MENGINGINKAN 100%</t>
  </si>
  <si>
    <t>SUDAH DIPERIKSA, SURAT PERINGATAN 15 FEB 2024, BELUM ADA GUGATAN</t>
  </si>
  <si>
    <t>16 NOV 2020 - MA Rp 100.000.000 / Rp 100.000.000</t>
  </si>
  <si>
    <t>SUDAH DIPERIKSA, SURAT PERINGATAN 19 FEB 2024, BELUM ADA GUGATAN</t>
  </si>
  <si>
    <t>PENAWARAN Rp 350.000.000 DITOLAK, NASABAH MENGINGINKAN 100%</t>
  </si>
  <si>
    <t>PENAWARAN Rp 120.000.000 DITOLAK, NASABAH MENGINGINKAN 80%</t>
  </si>
  <si>
    <t>SUDAH DIPERIKSA, SURAT PERINGATAN 9 JANUARI 2025, BELUM ADA GUGATAN</t>
  </si>
  <si>
    <t>SRI REJEKI / RLAL1026</t>
  </si>
  <si>
    <t>Rp 267.100.000</t>
  </si>
  <si>
    <t>TIDAK ADA PENAWARAN KEPADA NASABAH, NASABAH MENGINGINKAN 100%</t>
  </si>
  <si>
    <t>PENAWARAN FEE TRANSAKSI Rp 15.000.000 DITOLAK, NASABAH MENGINGINKAN 100%</t>
  </si>
  <si>
    <t>Rp 270.000.000</t>
  </si>
  <si>
    <t>06 SEPT 2021 / MA Rp 200.000.000</t>
  </si>
  <si>
    <t>28 JAN 2022 / MA Rp 200.000.000</t>
  </si>
  <si>
    <t>19 JULI 2017 / MA Rp 100.000.000</t>
  </si>
  <si>
    <t>24 JUNI 2021 / MA Rp 100.000.000</t>
  </si>
  <si>
    <t>07 FEB 2022 / MA Rp 120.000.000</t>
  </si>
  <si>
    <t>04 Maret 2020 / MA Rp 100.000.000</t>
  </si>
  <si>
    <t>15 NOV 2027 / MA Rp 100.000.000</t>
  </si>
  <si>
    <t>26 SEPT 2017 / MA Rp 100.000.000</t>
  </si>
  <si>
    <t>07 JULI N2017 / MA Rp 200.000.000</t>
  </si>
  <si>
    <t>29 APRIL 2019 / MA Rp 100.000.000</t>
  </si>
  <si>
    <t>03 NOV 2021 / MA Rp 100.000.000</t>
  </si>
  <si>
    <t>SYAHRUL / RAX93617</t>
  </si>
  <si>
    <t>PLM</t>
  </si>
  <si>
    <t xml:space="preserve"> - Total = 16</t>
  </si>
  <si>
    <t xml:space="preserve"> - Masih dalam proses pemeriksaan = 2</t>
  </si>
  <si>
    <t xml:space="preserve"> - Belum diperiksa = 7</t>
  </si>
  <si>
    <t xml:space="preserve"> - Sudah diperiksa =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</si>
</sst>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32" x14ac:knownFonts="1">
    <font>
      <sz val="11"/>
      <color theme="1"/>
      <name val="Calibri"/>
      <family val="2"/>
      <scheme val="minor"/>
    </font>
    <font>
      <b/>
      <sz val="11"/>
      <color theme="1"/>
      <name val="Calibri"/>
      <family val="2"/>
      <scheme val="minor"/>
    </font>
    <font>
      <b/>
      <u/>
      <sz val="16"/>
      <color theme="1"/>
      <name val="Arial Narrow"/>
      <family val="2"/>
    </font>
    <font>
      <sz val="12"/>
      <color theme="1"/>
      <name val="Arial Narrow"/>
      <family val="2"/>
    </font>
    <font>
      <b/>
      <sz val="11"/>
      <color theme="1"/>
      <name val="Arial Narrow"/>
      <family val="2"/>
    </font>
    <font>
      <sz val="14"/>
      <color theme="1"/>
      <name val="Arial Narrow"/>
      <family val="2"/>
    </font>
    <font>
      <b/>
      <sz val="12"/>
      <color theme="1"/>
      <name val="Arial Narrow"/>
      <family val="2"/>
    </font>
    <font>
      <b/>
      <sz val="12"/>
      <name val="Arial Narrow"/>
      <family val="2"/>
    </font>
    <font>
      <sz val="12"/>
      <color rgb="FF000000"/>
      <name val="Arial Narrow"/>
      <family val="2"/>
    </font>
    <font>
      <b/>
      <sz val="12"/>
      <color rgb="FF000000"/>
      <name val="Arial Narrow"/>
      <family val="2"/>
    </font>
    <font>
      <sz val="12"/>
      <color rgb="FF000000"/>
      <name val="Calibri"/>
      <family val="2"/>
    </font>
    <font>
      <sz val="12"/>
      <name val="Arial Narrow"/>
      <family val="2"/>
    </font>
    <font>
      <b/>
      <u/>
      <sz val="16"/>
      <color theme="1"/>
      <name val="Calibri"/>
      <family val="2"/>
      <scheme val="minor"/>
    </font>
    <font>
      <b/>
      <sz val="12"/>
      <color theme="1"/>
      <name val="Calibri"/>
      <family val="2"/>
      <scheme val="minor"/>
    </font>
    <font>
      <b/>
      <sz val="16"/>
      <color rgb="FFFF0000"/>
      <name val="Calibri"/>
      <family val="2"/>
      <scheme val="minor"/>
    </font>
    <font>
      <b/>
      <sz val="11"/>
      <name val="Calibri"/>
      <family val="2"/>
      <scheme val="minor"/>
    </font>
    <font>
      <sz val="10"/>
      <color rgb="FF000000"/>
      <name val="Arial Narrow"/>
      <family val="2"/>
    </font>
    <font>
      <sz val="10"/>
      <color theme="1"/>
      <name val="Arial Narrow"/>
      <family val="2"/>
    </font>
    <font>
      <b/>
      <sz val="14"/>
      <color theme="1"/>
      <name val="Calibri"/>
      <family val="2"/>
      <scheme val="minor"/>
    </font>
    <font>
      <sz val="14"/>
      <color theme="1"/>
      <name val="Calibri"/>
      <family val="2"/>
      <scheme val="minor"/>
    </font>
    <font>
      <u/>
      <sz val="11"/>
      <color theme="1"/>
      <name val="Calibri"/>
      <family val="2"/>
      <scheme val="minor"/>
    </font>
    <font>
      <sz val="11"/>
      <name val="Arial Narrow"/>
      <family val="2"/>
    </font>
    <font>
      <b/>
      <sz val="11"/>
      <name val="Calibri Light"/>
      <family val="2"/>
      <scheme val="major"/>
    </font>
    <font>
      <sz val="11"/>
      <name val="Calibri"/>
      <family val="2"/>
      <scheme val="minor"/>
    </font>
    <font>
      <sz val="11"/>
      <name val="Calibri"/>
      <family val="2"/>
      <charset val="1"/>
      <scheme val="minor"/>
    </font>
    <font>
      <sz val="10"/>
      <name val="Calibri"/>
      <family val="2"/>
      <scheme val="minor"/>
    </font>
    <font>
      <sz val="12"/>
      <color rgb="FF000000"/>
      <name val="Aptos Narrow"/>
      <family val="2"/>
    </font>
    <font>
      <sz val="10"/>
      <color rgb="FF000000"/>
      <name val="Aptos Narrow"/>
      <family val="2"/>
    </font>
    <font>
      <sz val="10"/>
      <name val="Aptos Narrow"/>
      <family val="2"/>
    </font>
    <font>
      <sz val="10"/>
      <color rgb="FF000000"/>
      <name val="Calibri"/>
      <family val="2"/>
      <scheme val="minor"/>
    </font>
    <font>
      <sz val="12"/>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FFFF00"/>
        <bgColor indexed="64"/>
      </patternFill>
    </fill>
    <fill>
      <patternFill patternType="solid">
        <fgColor theme="4" tint="0.39997558519241921"/>
        <bgColor indexed="64"/>
      </patternFill>
    </fill>
  </fills>
  <borders count="8">
    <border>
      <left/>
      <right/>
      <top/>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style="thin">
        <color auto="1"/>
      </bottom>
      <diagonal/>
    </border>
    <border>
      <left style="thin">
        <color auto="1"/>
      </left>
      <right/>
      <top/>
      <bottom/>
      <diagonal/>
    </border>
  </borders>
  <cellStyleXfs count="1">
    <xf numFmtId="0" fontId="0" fillId="0" borderId="0"/>
  </cellStyleXfs>
  <cellXfs count="75">
    <xf numFmtId="0" fontId="0" fillId="0" borderId="0" xfId="0"/>
    <xf numFmtId="0" fontId="3" fillId="2" borderId="0" xfId="0" applyFont="1" applyFill="1"/>
    <xf numFmtId="0" fontId="4" fillId="3" borderId="2" xfId="0" applyFont="1" applyFill="1" applyBorder="1" applyAlignment="1">
      <alignment horizontal="center" vertical="center"/>
    </xf>
    <xf numFmtId="0" fontId="5" fillId="2" borderId="0" xfId="0" applyFont="1" applyFill="1"/>
    <xf numFmtId="0" fontId="3" fillId="2" borderId="2" xfId="0" applyFont="1" applyFill="1" applyBorder="1" applyAlignment="1">
      <alignment horizont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6" fillId="2" borderId="2" xfId="0" applyFont="1" applyFill="1" applyBorder="1" applyAlignment="1">
      <alignment horizontal="center" vertical="center"/>
    </xf>
    <xf numFmtId="0" fontId="3" fillId="2" borderId="0" xfId="0" applyFont="1" applyFill="1" applyAlignment="1">
      <alignment horizontal="center"/>
    </xf>
    <xf numFmtId="0" fontId="3" fillId="2" borderId="0" xfId="0" applyFont="1" applyFill="1" applyAlignment="1">
      <alignment horizontal="center" vertical="center"/>
    </xf>
    <xf numFmtId="0" fontId="6" fillId="2" borderId="0" xfId="0" applyFont="1" applyFill="1" applyAlignment="1">
      <alignment horizontal="center"/>
    </xf>
    <xf numFmtId="0" fontId="6" fillId="2" borderId="0" xfId="0" applyFont="1" applyFill="1"/>
    <xf numFmtId="0" fontId="7" fillId="3" borderId="2" xfId="0" applyFont="1" applyFill="1" applyBorder="1" applyAlignment="1">
      <alignment horizontal="center" vertical="center" wrapText="1"/>
    </xf>
    <xf numFmtId="0" fontId="8" fillId="2" borderId="2" xfId="0" applyFont="1" applyFill="1" applyBorder="1" applyAlignment="1" applyProtection="1">
      <alignment horizontal="center" vertical="center" wrapText="1"/>
      <protection locked="0"/>
    </xf>
    <xf numFmtId="0" fontId="10" fillId="2" borderId="2" xfId="0" applyFont="1" applyFill="1" applyBorder="1" applyAlignment="1" applyProtection="1">
      <alignment horizontal="center" vertical="center" wrapText="1"/>
      <protection locked="0"/>
    </xf>
    <xf numFmtId="0" fontId="11" fillId="2" borderId="2" xfId="0" applyFont="1" applyFill="1" applyBorder="1" applyAlignment="1" applyProtection="1">
      <alignment horizontal="center" vertical="center" wrapText="1"/>
      <protection locked="0"/>
    </xf>
    <xf numFmtId="0" fontId="9" fillId="2" borderId="2" xfId="0" applyFont="1" applyFill="1" applyBorder="1" applyAlignment="1" applyProtection="1">
      <alignment horizontal="center" vertical="center" wrapText="1"/>
      <protection locked="0"/>
    </xf>
    <xf numFmtId="0" fontId="7" fillId="2" borderId="2" xfId="0" applyFont="1" applyFill="1" applyBorder="1" applyAlignment="1">
      <alignment horizontal="center" vertical="center" wrapText="1"/>
    </xf>
    <xf numFmtId="0" fontId="8" fillId="2" borderId="0" xfId="0" applyFont="1" applyFill="1" applyAlignment="1" applyProtection="1">
      <alignment horizontal="center" vertical="center" wrapText="1"/>
      <protection locked="0"/>
    </xf>
    <xf numFmtId="0" fontId="7" fillId="2" borderId="0" xfId="0" applyFont="1" applyFill="1" applyAlignment="1">
      <alignment horizontal="center" vertical="center" wrapText="1"/>
    </xf>
    <xf numFmtId="0" fontId="10" fillId="2" borderId="0" xfId="0" applyFont="1" applyFill="1" applyAlignment="1" applyProtection="1">
      <alignment horizontal="center" vertical="center" wrapText="1"/>
      <protection locked="0"/>
    </xf>
    <xf numFmtId="0" fontId="1" fillId="0" borderId="0" xfId="0" applyFont="1" applyAlignment="1">
      <alignment vertical="center"/>
    </xf>
    <xf numFmtId="0" fontId="13" fillId="0" borderId="0" xfId="0" applyFont="1" applyAlignment="1">
      <alignment vertical="center"/>
    </xf>
    <xf numFmtId="0" fontId="0" fillId="0" borderId="0" xfId="0" applyAlignment="1">
      <alignment horizontal="center" vertical="center"/>
    </xf>
    <xf numFmtId="0" fontId="15" fillId="5" borderId="2" xfId="0" applyFont="1" applyFill="1" applyBorder="1" applyAlignment="1">
      <alignment horizontal="center" vertical="center" wrapText="1"/>
    </xf>
    <xf numFmtId="164" fontId="15" fillId="5" borderId="2" xfId="0" applyNumberFormat="1" applyFont="1" applyFill="1" applyBorder="1" applyAlignment="1">
      <alignment horizontal="center" vertical="center" wrapText="1"/>
    </xf>
    <xf numFmtId="0" fontId="16" fillId="0" borderId="2" xfId="0" applyFont="1" applyBorder="1" applyAlignment="1" applyProtection="1">
      <alignment horizontal="center" vertical="center"/>
      <protection locked="0"/>
    </xf>
    <xf numFmtId="44" fontId="17" fillId="0" borderId="2" xfId="0" applyNumberFormat="1" applyFont="1" applyBorder="1" applyAlignment="1">
      <alignment horizontal="center" vertical="center"/>
    </xf>
    <xf numFmtId="0" fontId="18" fillId="0" borderId="0" xfId="0" applyFont="1" applyAlignment="1">
      <alignment vertical="center"/>
    </xf>
    <xf numFmtId="0" fontId="19" fillId="0" borderId="0" xfId="0" applyFont="1"/>
    <xf numFmtId="0" fontId="20" fillId="0" borderId="0" xfId="0" applyFont="1"/>
    <xf numFmtId="0" fontId="6" fillId="2" borderId="7" xfId="0" applyFont="1" applyFill="1" applyBorder="1" applyAlignment="1">
      <alignment horizontal="center" vertical="center"/>
    </xf>
    <xf numFmtId="0" fontId="4" fillId="0" borderId="0" xfId="0" applyFont="1" applyAlignment="1">
      <alignment horizontal="center" vertical="center"/>
    </xf>
    <xf numFmtId="0" fontId="0" fillId="4" borderId="0" xfId="0" applyFill="1"/>
    <xf numFmtId="0" fontId="22" fillId="2" borderId="2" xfId="0" applyFont="1" applyFill="1" applyBorder="1" applyAlignment="1">
      <alignment horizontal="center" vertical="center" wrapText="1"/>
    </xf>
    <xf numFmtId="0" fontId="23" fillId="2" borderId="2" xfId="0" applyFont="1" applyFill="1" applyBorder="1" applyAlignment="1">
      <alignment horizontal="center" vertical="center" wrapText="1"/>
    </xf>
    <xf numFmtId="14" fontId="23" fillId="2" borderId="2" xfId="0" applyNumberFormat="1" applyFont="1" applyFill="1" applyBorder="1" applyAlignment="1">
      <alignment horizontal="center" vertical="center" wrapText="1"/>
    </xf>
    <xf numFmtId="164" fontId="23" fillId="2" borderId="2" xfId="0" applyNumberFormat="1" applyFont="1" applyFill="1" applyBorder="1" applyAlignment="1">
      <alignment horizontal="center" vertical="center" wrapText="1"/>
    </xf>
    <xf numFmtId="0" fontId="24" fillId="2" borderId="2" xfId="0" applyFont="1" applyFill="1" applyBorder="1" applyAlignment="1">
      <alignment horizontal="center" vertical="center" wrapText="1"/>
    </xf>
    <xf numFmtId="14" fontId="24" fillId="2" borderId="2" xfId="0" applyNumberFormat="1" applyFont="1" applyFill="1" applyBorder="1" applyAlignment="1">
      <alignment horizontal="center" vertical="center" wrapText="1"/>
    </xf>
    <xf numFmtId="164" fontId="24" fillId="2" borderId="2" xfId="0" applyNumberFormat="1" applyFont="1" applyFill="1" applyBorder="1" applyAlignment="1">
      <alignment horizontal="center" vertical="center" wrapText="1"/>
    </xf>
    <xf numFmtId="164" fontId="24" fillId="2" borderId="2" xfId="0" quotePrefix="1" applyNumberFormat="1" applyFont="1" applyFill="1" applyBorder="1" applyAlignment="1">
      <alignment horizontal="center" vertical="center" wrapText="1"/>
    </xf>
    <xf numFmtId="0" fontId="25" fillId="2" borderId="2" xfId="0" applyFont="1" applyFill="1" applyBorder="1" applyAlignment="1">
      <alignment horizontal="center" vertical="center" wrapText="1"/>
    </xf>
    <xf numFmtId="0" fontId="26" fillId="2" borderId="2" xfId="0" applyFont="1" applyFill="1" applyBorder="1" applyAlignment="1" applyProtection="1">
      <alignment horizontal="center" vertical="center" wrapText="1"/>
      <protection locked="0"/>
    </xf>
    <xf numFmtId="0" fontId="27" fillId="2" borderId="2" xfId="0" applyFont="1" applyFill="1" applyBorder="1" applyAlignment="1" applyProtection="1">
      <alignment horizontal="center" vertical="center" wrapText="1"/>
      <protection locked="0"/>
    </xf>
    <xf numFmtId="14" fontId="27" fillId="0" borderId="2" xfId="0" applyNumberFormat="1" applyFont="1" applyBorder="1" applyAlignment="1" applyProtection="1">
      <alignment horizontal="center" vertical="center" wrapText="1"/>
      <protection locked="0"/>
    </xf>
    <xf numFmtId="44" fontId="28" fillId="0" borderId="2" xfId="0" quotePrefix="1" applyNumberFormat="1" applyFont="1" applyBorder="1" applyAlignment="1">
      <alignment horizontal="center" vertical="center" wrapText="1"/>
    </xf>
    <xf numFmtId="0" fontId="21" fillId="2" borderId="2" xfId="0" applyFont="1" applyFill="1" applyBorder="1" applyAlignment="1">
      <alignment horizontal="center" vertical="center" wrapText="1"/>
    </xf>
    <xf numFmtId="0" fontId="15" fillId="2" borderId="2" xfId="0" applyFont="1" applyFill="1" applyBorder="1" applyAlignment="1">
      <alignment horizontal="center" vertical="center" wrapText="1"/>
    </xf>
    <xf numFmtId="0" fontId="0" fillId="2" borderId="0" xfId="0" applyFill="1"/>
    <xf numFmtId="0" fontId="0" fillId="2" borderId="0" xfId="0" applyFill="1" applyAlignment="1">
      <alignment horizontal="center" vertical="center"/>
    </xf>
    <xf numFmtId="0" fontId="29" fillId="2" borderId="2" xfId="0" applyFont="1" applyFill="1" applyBorder="1" applyAlignment="1" applyProtection="1">
      <alignment horizontal="center" vertical="center" wrapText="1"/>
      <protection locked="0"/>
    </xf>
    <xf numFmtId="0" fontId="29" fillId="0" borderId="2" xfId="0" applyFont="1" applyBorder="1" applyAlignment="1" applyProtection="1">
      <alignment horizontal="center" vertical="center" wrapText="1"/>
      <protection locked="0"/>
    </xf>
    <xf numFmtId="44" fontId="25" fillId="0" borderId="2" xfId="0" quotePrefix="1" applyNumberFormat="1" applyFont="1" applyBorder="1" applyAlignment="1">
      <alignment horizontal="center" vertical="center" wrapText="1"/>
    </xf>
    <xf numFmtId="0" fontId="30" fillId="2" borderId="2" xfId="0" applyFont="1" applyFill="1" applyBorder="1" applyAlignment="1" applyProtection="1">
      <alignment horizontal="center" vertical="center" wrapText="1"/>
      <protection locked="0"/>
    </xf>
    <xf numFmtId="0" fontId="31" fillId="2" borderId="2" xfId="0" applyFont="1" applyFill="1" applyBorder="1" applyAlignment="1" applyProtection="1">
      <alignment horizontal="center" vertical="center" wrapText="1"/>
      <protection locked="0"/>
    </xf>
    <xf numFmtId="15" fontId="23" fillId="2" borderId="2" xfId="0" applyNumberFormat="1" applyFont="1" applyFill="1" applyBorder="1" applyAlignment="1">
      <alignment horizontal="center" vertical="center" wrapText="1"/>
    </xf>
    <xf numFmtId="0" fontId="8" fillId="2" borderId="2" xfId="0" applyFont="1" applyFill="1" applyBorder="1" applyAlignment="1" applyProtection="1">
      <alignment horizontal="center" vertical="center" wrapText="1"/>
      <protection locked="0"/>
    </xf>
    <xf numFmtId="0" fontId="8" fillId="2" borderId="4" xfId="0" applyFont="1" applyFill="1" applyBorder="1" applyAlignment="1" applyProtection="1">
      <alignment horizontal="center" vertical="center" wrapText="1"/>
      <protection locked="0"/>
    </xf>
    <xf numFmtId="0" fontId="8" fillId="2" borderId="5" xfId="0" applyFont="1" applyFill="1" applyBorder="1" applyAlignment="1" applyProtection="1">
      <alignment horizontal="center" vertical="center" wrapText="1"/>
      <protection locked="0"/>
    </xf>
    <xf numFmtId="0" fontId="2" fillId="2" borderId="0" xfId="0" applyFont="1" applyFill="1" applyAlignment="1">
      <alignment horizontal="center" vertical="center"/>
    </xf>
    <xf numFmtId="0" fontId="2" fillId="2" borderId="1" xfId="0" applyFont="1" applyFill="1" applyBorder="1" applyAlignment="1">
      <alignment horizontal="center" vertical="center"/>
    </xf>
    <xf numFmtId="0" fontId="6" fillId="2" borderId="2" xfId="0" applyFont="1" applyFill="1" applyBorder="1" applyAlignment="1">
      <alignment horizontal="center" vertical="center" wrapText="1"/>
    </xf>
    <xf numFmtId="0" fontId="3" fillId="2" borderId="0" xfId="0" applyFont="1" applyFill="1" applyAlignment="1">
      <alignment horizontal="center" vertical="center"/>
    </xf>
    <xf numFmtId="0" fontId="7"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12" fillId="0" borderId="0" xfId="0" applyFont="1" applyAlignment="1">
      <alignment horizontal="center" vertical="center"/>
    </xf>
    <xf numFmtId="0" fontId="14" fillId="0" borderId="2" xfId="0" applyFont="1" applyBorder="1" applyAlignment="1">
      <alignment horizontal="center" vertical="center"/>
    </xf>
    <xf numFmtId="0" fontId="14" fillId="4" borderId="2"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6" xfId="0" applyFont="1" applyFill="1" applyBorder="1" applyAlignment="1">
      <alignment horizontal="center" vertical="center"/>
    </xf>
    <xf numFmtId="0" fontId="14" fillId="4"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7000D0-C1B5-4AD8-9B3B-15B34F4C3B83}">
  <dimension ref="A1:G31"/>
  <sheetViews>
    <sheetView zoomScale="75" zoomScaleNormal="150" workbookViewId="0">
      <selection activeCell="J11" sqref="J11"/>
    </sheetView>
  </sheetViews>
  <sheetFormatPr defaultColWidth="9.33203125" defaultRowHeight="15.6" x14ac:dyDescent="0.3"/>
  <cols>
    <col min="1" max="1" width="5" style="1" bestFit="1" customWidth="1"/>
    <col min="2" max="2" width="11.6640625" style="1" bestFit="1" customWidth="1"/>
    <col min="3" max="3" width="25.44140625" style="11" customWidth="1"/>
    <col min="4" max="4" width="6.88671875" style="11" hidden="1" customWidth="1"/>
    <col min="5" max="5" width="26.6640625" style="11" customWidth="1"/>
    <col min="6" max="6" width="35.44140625" style="11" customWidth="1"/>
    <col min="7" max="7" width="16.6640625" style="1" customWidth="1"/>
    <col min="8" max="14" width="9.33203125" style="1"/>
    <col min="15" max="15" width="24.6640625" style="1" customWidth="1"/>
    <col min="16" max="16384" width="9.33203125" style="1"/>
  </cols>
  <sheetData>
    <row r="1" spans="1:7" x14ac:dyDescent="0.3">
      <c r="A1" s="63" t="s">
        <v>14</v>
      </c>
      <c r="B1" s="63"/>
      <c r="C1" s="63"/>
      <c r="D1" s="63"/>
      <c r="E1" s="63"/>
      <c r="F1" s="63"/>
      <c r="G1" s="63"/>
    </row>
    <row r="2" spans="1:7" x14ac:dyDescent="0.3">
      <c r="A2" s="64"/>
      <c r="B2" s="64"/>
      <c r="C2" s="64"/>
      <c r="D2" s="64"/>
      <c r="E2" s="64"/>
      <c r="F2" s="64"/>
      <c r="G2" s="63"/>
    </row>
    <row r="3" spans="1:7" s="3" customFormat="1" ht="25.5" customHeight="1" x14ac:dyDescent="0.35">
      <c r="A3" s="2" t="s">
        <v>0</v>
      </c>
      <c r="B3" s="2" t="s">
        <v>1</v>
      </c>
      <c r="C3" s="2" t="s">
        <v>2</v>
      </c>
      <c r="D3" s="2"/>
      <c r="E3" s="2" t="s">
        <v>3</v>
      </c>
      <c r="F3" s="2" t="s">
        <v>4</v>
      </c>
      <c r="G3" s="35"/>
    </row>
    <row r="4" spans="1:7" s="3" customFormat="1" ht="20.100000000000001" customHeight="1" x14ac:dyDescent="0.35">
      <c r="A4" s="4">
        <v>1</v>
      </c>
      <c r="B4" s="5" t="s">
        <v>15</v>
      </c>
      <c r="C4" s="6">
        <v>7</v>
      </c>
      <c r="D4" s="6"/>
      <c r="E4" s="6">
        <v>8</v>
      </c>
      <c r="F4" s="6">
        <v>15</v>
      </c>
      <c r="G4" s="12"/>
    </row>
    <row r="5" spans="1:7" ht="20.100000000000001" customHeight="1" x14ac:dyDescent="0.3">
      <c r="A5" s="4">
        <v>2</v>
      </c>
      <c r="B5" s="5" t="s">
        <v>16</v>
      </c>
      <c r="C5" s="6">
        <v>2</v>
      </c>
      <c r="D5" s="6"/>
      <c r="E5" s="6">
        <v>2</v>
      </c>
      <c r="F5" s="6">
        <v>4</v>
      </c>
      <c r="G5" s="12"/>
    </row>
    <row r="6" spans="1:7" ht="20.100000000000001" customHeight="1" x14ac:dyDescent="0.3">
      <c r="A6" s="4">
        <v>3</v>
      </c>
      <c r="B6" s="5" t="s">
        <v>17</v>
      </c>
      <c r="C6" s="6">
        <v>2</v>
      </c>
      <c r="D6" s="6"/>
      <c r="E6" s="6">
        <v>1</v>
      </c>
      <c r="F6" s="6">
        <v>3</v>
      </c>
      <c r="G6" s="12"/>
    </row>
    <row r="7" spans="1:7" ht="20.100000000000001" customHeight="1" x14ac:dyDescent="0.3">
      <c r="A7" s="4">
        <v>4</v>
      </c>
      <c r="B7" s="5" t="s">
        <v>18</v>
      </c>
      <c r="C7" s="6">
        <v>1</v>
      </c>
      <c r="D7" s="6"/>
      <c r="E7" s="6">
        <v>2</v>
      </c>
      <c r="F7" s="6">
        <v>3</v>
      </c>
      <c r="G7" s="12"/>
    </row>
    <row r="8" spans="1:7" ht="20.100000000000001" customHeight="1" x14ac:dyDescent="0.3">
      <c r="A8" s="4">
        <v>5</v>
      </c>
      <c r="B8" s="5" t="s">
        <v>19</v>
      </c>
      <c r="C8" s="6">
        <v>1</v>
      </c>
      <c r="D8" s="6"/>
      <c r="E8" s="6">
        <v>1</v>
      </c>
      <c r="F8" s="6">
        <v>2</v>
      </c>
      <c r="G8" s="12"/>
    </row>
    <row r="9" spans="1:7" ht="20.100000000000001" customHeight="1" x14ac:dyDescent="0.3">
      <c r="A9" s="4">
        <v>6</v>
      </c>
      <c r="B9" s="5" t="s">
        <v>20</v>
      </c>
      <c r="C9" s="6">
        <v>0</v>
      </c>
      <c r="D9" s="6"/>
      <c r="E9" s="6">
        <v>1</v>
      </c>
      <c r="F9" s="6">
        <v>1</v>
      </c>
      <c r="G9" s="12"/>
    </row>
    <row r="10" spans="1:7" ht="20.100000000000001" customHeight="1" x14ac:dyDescent="0.3">
      <c r="A10" s="4">
        <v>7</v>
      </c>
      <c r="B10" s="5" t="s">
        <v>21</v>
      </c>
      <c r="C10" s="6">
        <v>2</v>
      </c>
      <c r="D10" s="6"/>
      <c r="E10" s="6">
        <v>0</v>
      </c>
      <c r="F10" s="6">
        <v>2</v>
      </c>
      <c r="G10" s="12"/>
    </row>
    <row r="11" spans="1:7" ht="20.100000000000001" customHeight="1" x14ac:dyDescent="0.3">
      <c r="A11" s="4">
        <v>8</v>
      </c>
      <c r="B11" s="5" t="s">
        <v>22</v>
      </c>
      <c r="C11" s="6">
        <v>0</v>
      </c>
      <c r="D11" s="6"/>
      <c r="E11" s="6">
        <v>0</v>
      </c>
      <c r="F11" s="6">
        <v>0</v>
      </c>
      <c r="G11" s="12"/>
    </row>
    <row r="12" spans="1:7" ht="20.100000000000001" customHeight="1" x14ac:dyDescent="0.3">
      <c r="A12" s="4">
        <v>9</v>
      </c>
      <c r="B12" s="5" t="s">
        <v>23</v>
      </c>
      <c r="C12" s="6">
        <v>0</v>
      </c>
      <c r="D12" s="6"/>
      <c r="E12" s="6">
        <v>0</v>
      </c>
      <c r="F12" s="6">
        <v>0</v>
      </c>
      <c r="G12" s="12"/>
    </row>
    <row r="13" spans="1:7" ht="20.100000000000001" customHeight="1" x14ac:dyDescent="0.3">
      <c r="A13" s="4">
        <v>10</v>
      </c>
      <c r="B13" s="5" t="s">
        <v>24</v>
      </c>
      <c r="C13" s="6">
        <v>0</v>
      </c>
      <c r="D13" s="6"/>
      <c r="E13" s="6">
        <v>0</v>
      </c>
      <c r="F13" s="6">
        <v>0</v>
      </c>
      <c r="G13" s="12"/>
    </row>
    <row r="14" spans="1:7" ht="20.100000000000001" customHeight="1" x14ac:dyDescent="0.3">
      <c r="A14" s="4">
        <v>11</v>
      </c>
      <c r="B14" s="5" t="s">
        <v>25</v>
      </c>
      <c r="C14" s="6">
        <v>1</v>
      </c>
      <c r="D14" s="6"/>
      <c r="E14" s="6">
        <v>0</v>
      </c>
      <c r="F14" s="6">
        <v>1</v>
      </c>
      <c r="G14" s="12"/>
    </row>
    <row r="15" spans="1:7" ht="20.100000000000001" customHeight="1" x14ac:dyDescent="0.3">
      <c r="A15" s="7">
        <v>12</v>
      </c>
      <c r="B15" s="8" t="s">
        <v>26</v>
      </c>
      <c r="C15" s="9">
        <v>0</v>
      </c>
      <c r="D15" s="9"/>
      <c r="E15" s="9">
        <v>0</v>
      </c>
      <c r="F15" s="6">
        <v>0</v>
      </c>
      <c r="G15" s="12"/>
    </row>
    <row r="16" spans="1:7" ht="20.100000000000001" customHeight="1" x14ac:dyDescent="0.3">
      <c r="A16" s="65" t="s">
        <v>5</v>
      </c>
      <c r="B16" s="65"/>
      <c r="C16" s="10">
        <f>SUM(C4:C15)</f>
        <v>16</v>
      </c>
      <c r="D16" s="10">
        <f t="shared" ref="D16:F16" si="0">SUM(D4:D15)</f>
        <v>0</v>
      </c>
      <c r="E16" s="10">
        <f t="shared" si="0"/>
        <v>15</v>
      </c>
      <c r="F16" s="10">
        <f t="shared" si="0"/>
        <v>31</v>
      </c>
      <c r="G16" s="34"/>
    </row>
    <row r="17" spans="1:7" ht="20.100000000000001" customHeight="1" x14ac:dyDescent="0.3">
      <c r="A17" s="11"/>
      <c r="B17" s="11"/>
      <c r="C17" s="12"/>
      <c r="D17" s="12"/>
      <c r="E17" s="12"/>
      <c r="F17" s="66"/>
      <c r="G17" s="66"/>
    </row>
    <row r="18" spans="1:7" x14ac:dyDescent="0.3">
      <c r="A18" s="11"/>
      <c r="B18" s="11"/>
      <c r="G18" s="13"/>
    </row>
    <row r="19" spans="1:7" ht="14.4" customHeight="1" x14ac:dyDescent="0.3">
      <c r="A19" s="14" t="s">
        <v>27</v>
      </c>
      <c r="C19" s="1"/>
    </row>
    <row r="20" spans="1:7" ht="2.4" hidden="1" customHeight="1" x14ac:dyDescent="0.3">
      <c r="A20" s="14" t="s">
        <v>6</v>
      </c>
      <c r="C20" s="1"/>
    </row>
    <row r="22" spans="1:7" x14ac:dyDescent="0.3">
      <c r="A22" s="15" t="s">
        <v>7</v>
      </c>
      <c r="B22" s="15" t="s">
        <v>8</v>
      </c>
      <c r="C22" s="15" t="s">
        <v>9</v>
      </c>
      <c r="D22" s="15"/>
      <c r="E22" s="15" t="s">
        <v>10</v>
      </c>
      <c r="F22" s="67" t="s">
        <v>11</v>
      </c>
      <c r="G22" s="68"/>
    </row>
    <row r="23" spans="1:7" ht="24.9" customHeight="1" x14ac:dyDescent="0.3">
      <c r="A23" s="16">
        <v>1</v>
      </c>
      <c r="B23" s="16"/>
      <c r="C23" s="16"/>
      <c r="D23" s="17"/>
      <c r="E23" s="16"/>
      <c r="F23" s="60"/>
      <c r="G23" s="60"/>
    </row>
    <row r="24" spans="1:7" ht="24.9" customHeight="1" x14ac:dyDescent="0.3">
      <c r="A24" s="16">
        <v>2</v>
      </c>
      <c r="B24" s="16"/>
      <c r="C24" s="18"/>
      <c r="D24" s="17"/>
      <c r="E24" s="16"/>
      <c r="F24" s="60"/>
      <c r="G24" s="60"/>
    </row>
    <row r="25" spans="1:7" ht="24.9" customHeight="1" x14ac:dyDescent="0.3">
      <c r="A25" s="16">
        <v>3</v>
      </c>
      <c r="B25" s="16"/>
      <c r="C25" s="16"/>
      <c r="D25" s="17"/>
      <c r="E25" s="16"/>
      <c r="F25" s="60"/>
      <c r="G25" s="60"/>
    </row>
    <row r="26" spans="1:7" x14ac:dyDescent="0.3">
      <c r="A26" s="16">
        <v>4</v>
      </c>
      <c r="B26" s="16"/>
      <c r="C26" s="19"/>
      <c r="D26" s="17"/>
      <c r="E26" s="16"/>
      <c r="F26" s="60"/>
      <c r="G26" s="60"/>
    </row>
    <row r="27" spans="1:7" ht="24.9" customHeight="1" x14ac:dyDescent="0.3">
      <c r="A27" s="16">
        <v>5</v>
      </c>
      <c r="B27" s="16"/>
      <c r="C27" s="16"/>
      <c r="D27" s="17"/>
      <c r="E27" s="16"/>
      <c r="F27" s="60"/>
      <c r="G27" s="60"/>
    </row>
    <row r="28" spans="1:7" ht="24.9" customHeight="1" x14ac:dyDescent="0.3">
      <c r="A28" s="16">
        <v>6</v>
      </c>
      <c r="B28" s="16"/>
      <c r="C28" s="20"/>
      <c r="D28" s="17"/>
      <c r="E28" s="16"/>
      <c r="F28" s="61"/>
      <c r="G28" s="62"/>
    </row>
    <row r="29" spans="1:7" x14ac:dyDescent="0.3">
      <c r="A29" s="21"/>
      <c r="B29" s="21"/>
      <c r="C29" s="22"/>
      <c r="D29" s="23"/>
      <c r="E29" s="21"/>
      <c r="F29" s="21"/>
      <c r="G29" s="21"/>
    </row>
    <row r="30" spans="1:7" x14ac:dyDescent="0.3">
      <c r="C30" s="1"/>
    </row>
    <row r="31" spans="1:7" x14ac:dyDescent="0.3">
      <c r="C31" s="1"/>
    </row>
  </sheetData>
  <mergeCells count="10">
    <mergeCell ref="A1:G2"/>
    <mergeCell ref="A16:B16"/>
    <mergeCell ref="F17:G17"/>
    <mergeCell ref="F22:G22"/>
    <mergeCell ref="F23:G23"/>
    <mergeCell ref="F24:G24"/>
    <mergeCell ref="F25:G25"/>
    <mergeCell ref="F26:G26"/>
    <mergeCell ref="F27:G27"/>
    <mergeCell ref="F28:G2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6DE80-0B6F-4C79-A1B5-8F7F32915895}">
  <dimension ref="A1:G24"/>
  <sheetViews>
    <sheetView tabSelected="1" zoomScale="90" zoomScaleNormal="90" workbookViewId="0">
      <selection activeCell="A5" sqref="A5"/>
    </sheetView>
  </sheetViews>
  <sheetFormatPr defaultRowHeight="14.4" x14ac:dyDescent="0.3"/>
  <cols>
    <col min="1" max="1" width="4.109375" customWidth="1"/>
    <col min="2" max="2" width="15.88671875" customWidth="1"/>
    <col min="3" max="3" width="25.21875" customWidth="1"/>
    <col min="4" max="4" width="33.5546875" customWidth="1"/>
    <col min="5" max="5" width="24" customWidth="1"/>
    <col min="6" max="6" width="21.44140625" customWidth="1"/>
    <col min="7" max="7" width="29.109375" style="26" customWidth="1"/>
    <col min="16" max="16" width="18.5546875" bestFit="1" customWidth="1"/>
  </cols>
  <sheetData>
    <row r="1" spans="1:7" ht="21" x14ac:dyDescent="0.3">
      <c r="A1" s="69" t="s">
        <v>180</v>
      </c>
      <c r="B1" s="69"/>
      <c r="C1" s="69"/>
      <c r="D1" s="69"/>
      <c r="E1" s="69"/>
      <c r="F1" s="69"/>
      <c r="G1" s="69"/>
    </row>
    <row r="2" spans="1:7" ht="15.6" x14ac:dyDescent="0.3">
      <c r="A2" s="24" t="s">
        <v>242</v>
      </c>
      <c r="B2" s="25"/>
      <c r="C2" s="25"/>
      <c r="D2" s="25"/>
      <c r="E2" s="25"/>
      <c r="F2" s="25"/>
      <c r="G2" s="25"/>
    </row>
    <row r="3" spans="1:7" x14ac:dyDescent="0.3">
      <c r="A3" t="s">
        <v>243</v>
      </c>
    </row>
    <row r="4" spans="1:7" x14ac:dyDescent="0.3">
      <c r="A4" t="s">
        <v>244</v>
      </c>
    </row>
    <row r="5" spans="1:7" x14ac:dyDescent="0.3">
      <c r="A5" t="s">
        <v>245</v>
      </c>
    </row>
    <row r="6" spans="1:7" ht="21" x14ac:dyDescent="0.3">
      <c r="A6" s="70" t="s">
        <v>28</v>
      </c>
      <c r="B6" s="70"/>
      <c r="C6" s="70"/>
      <c r="D6" s="70"/>
      <c r="E6" s="70"/>
      <c r="F6" s="70"/>
      <c r="G6" s="70"/>
    </row>
    <row r="7" spans="1:7" ht="28.8" x14ac:dyDescent="0.3">
      <c r="A7" s="27" t="s">
        <v>7</v>
      </c>
      <c r="B7" s="27" t="s">
        <v>8</v>
      </c>
      <c r="C7" s="27" t="s">
        <v>9</v>
      </c>
      <c r="D7" s="27" t="s">
        <v>12</v>
      </c>
      <c r="E7" s="28" t="s">
        <v>13</v>
      </c>
      <c r="F7" s="27" t="s">
        <v>10</v>
      </c>
      <c r="G7" s="27" t="s">
        <v>11</v>
      </c>
    </row>
    <row r="8" spans="1:7" ht="109.2" x14ac:dyDescent="0.3">
      <c r="A8" s="58">
        <v>1</v>
      </c>
      <c r="B8" s="54" t="s">
        <v>103</v>
      </c>
      <c r="C8" s="54" t="s">
        <v>181</v>
      </c>
      <c r="D8" s="55" t="s">
        <v>182</v>
      </c>
      <c r="E8" s="56" t="s">
        <v>183</v>
      </c>
      <c r="F8" s="57" t="s">
        <v>184</v>
      </c>
      <c r="G8" s="57" t="s">
        <v>185</v>
      </c>
    </row>
    <row r="9" spans="1:7" ht="46.8" x14ac:dyDescent="0.3">
      <c r="A9" s="58">
        <v>2</v>
      </c>
      <c r="B9" s="58" t="s">
        <v>100</v>
      </c>
      <c r="C9" s="58" t="s">
        <v>189</v>
      </c>
      <c r="D9" s="55" t="s">
        <v>233</v>
      </c>
      <c r="E9" s="56" t="s">
        <v>188</v>
      </c>
      <c r="F9" s="57" t="s">
        <v>187</v>
      </c>
      <c r="G9" s="57" t="s">
        <v>186</v>
      </c>
    </row>
    <row r="10" spans="1:7" ht="93.6" x14ac:dyDescent="0.3">
      <c r="A10" s="16">
        <v>3</v>
      </c>
      <c r="B10" s="57" t="s">
        <v>121</v>
      </c>
      <c r="C10" s="57" t="s">
        <v>34</v>
      </c>
      <c r="D10" s="55" t="s">
        <v>234</v>
      </c>
      <c r="E10" s="56" t="s">
        <v>190</v>
      </c>
      <c r="F10" s="57" t="s">
        <v>187</v>
      </c>
      <c r="G10" s="57" t="s">
        <v>191</v>
      </c>
    </row>
    <row r="11" spans="1:7" ht="93.6" x14ac:dyDescent="0.3">
      <c r="A11" s="16">
        <v>4</v>
      </c>
      <c r="B11" s="57" t="s">
        <v>121</v>
      </c>
      <c r="C11" s="57" t="s">
        <v>195</v>
      </c>
      <c r="D11" s="55" t="s">
        <v>235</v>
      </c>
      <c r="E11" s="56" t="s">
        <v>196</v>
      </c>
      <c r="F11" s="57" t="s">
        <v>193</v>
      </c>
      <c r="G11" s="57" t="s">
        <v>192</v>
      </c>
    </row>
    <row r="12" spans="1:7" ht="109.2" x14ac:dyDescent="0.3">
      <c r="A12" s="16">
        <v>5</v>
      </c>
      <c r="B12" s="57" t="s">
        <v>121</v>
      </c>
      <c r="C12" s="57" t="s">
        <v>40</v>
      </c>
      <c r="D12" s="55" t="s">
        <v>236</v>
      </c>
      <c r="E12" s="56" t="s">
        <v>194</v>
      </c>
      <c r="F12" s="57" t="s">
        <v>193</v>
      </c>
      <c r="G12" s="57" t="s">
        <v>197</v>
      </c>
    </row>
    <row r="13" spans="1:7" ht="109.2" x14ac:dyDescent="0.3">
      <c r="A13" s="16">
        <v>6</v>
      </c>
      <c r="B13" s="57" t="s">
        <v>121</v>
      </c>
      <c r="C13" s="57" t="s">
        <v>200</v>
      </c>
      <c r="D13" s="55" t="s">
        <v>237</v>
      </c>
      <c r="E13" s="56" t="s">
        <v>199</v>
      </c>
      <c r="F13" s="57" t="s">
        <v>193</v>
      </c>
      <c r="G13" s="57" t="s">
        <v>198</v>
      </c>
    </row>
    <row r="14" spans="1:7" ht="93.6" x14ac:dyDescent="0.3">
      <c r="A14" s="16">
        <v>7</v>
      </c>
      <c r="B14" s="57" t="s">
        <v>121</v>
      </c>
      <c r="C14" s="57" t="s">
        <v>201</v>
      </c>
      <c r="D14" s="55" t="s">
        <v>202</v>
      </c>
      <c r="E14" s="56" t="s">
        <v>203</v>
      </c>
      <c r="F14" s="57" t="s">
        <v>108</v>
      </c>
      <c r="G14" s="57" t="s">
        <v>191</v>
      </c>
    </row>
    <row r="15" spans="1:7" ht="78" x14ac:dyDescent="0.3">
      <c r="A15" s="16">
        <v>8</v>
      </c>
      <c r="B15" s="57" t="s">
        <v>16</v>
      </c>
      <c r="C15" s="57" t="s">
        <v>207</v>
      </c>
      <c r="D15" s="55" t="s">
        <v>238</v>
      </c>
      <c r="E15" s="56" t="s">
        <v>206</v>
      </c>
      <c r="F15" s="57" t="s">
        <v>205</v>
      </c>
      <c r="G15" s="57" t="s">
        <v>204</v>
      </c>
    </row>
    <row r="16" spans="1:7" ht="62.4" x14ac:dyDescent="0.3">
      <c r="A16" s="16">
        <v>9</v>
      </c>
      <c r="B16" s="57" t="s">
        <v>16</v>
      </c>
      <c r="C16" s="57" t="s">
        <v>167</v>
      </c>
      <c r="D16" s="55" t="s">
        <v>208</v>
      </c>
      <c r="E16" s="56" t="s">
        <v>169</v>
      </c>
      <c r="F16" s="57" t="s">
        <v>209</v>
      </c>
      <c r="G16" s="57" t="s">
        <v>210</v>
      </c>
    </row>
    <row r="17" spans="1:7" ht="62.4" x14ac:dyDescent="0.3">
      <c r="A17" s="16">
        <v>10</v>
      </c>
      <c r="B17" s="57" t="s">
        <v>162</v>
      </c>
      <c r="C17" s="57" t="s">
        <v>163</v>
      </c>
      <c r="D17" s="55" t="s">
        <v>239</v>
      </c>
      <c r="E17" s="56" t="s">
        <v>165</v>
      </c>
      <c r="F17" s="57" t="s">
        <v>212</v>
      </c>
      <c r="G17" s="57" t="s">
        <v>211</v>
      </c>
    </row>
    <row r="18" spans="1:7" ht="46.8" x14ac:dyDescent="0.3">
      <c r="A18" s="16">
        <v>11</v>
      </c>
      <c r="B18" s="57" t="s">
        <v>162</v>
      </c>
      <c r="C18" s="57" t="s">
        <v>213</v>
      </c>
      <c r="D18" s="55" t="s">
        <v>214</v>
      </c>
      <c r="E18" s="56" t="s">
        <v>215</v>
      </c>
      <c r="F18" s="57" t="s">
        <v>108</v>
      </c>
      <c r="G18" s="57" t="s">
        <v>216</v>
      </c>
    </row>
    <row r="19" spans="1:7" ht="62.4" x14ac:dyDescent="0.3">
      <c r="A19" s="16">
        <v>12</v>
      </c>
      <c r="B19" s="57" t="s">
        <v>21</v>
      </c>
      <c r="C19" s="57" t="s">
        <v>158</v>
      </c>
      <c r="D19" s="55" t="s">
        <v>219</v>
      </c>
      <c r="E19" s="56" t="s">
        <v>159</v>
      </c>
      <c r="F19" s="57" t="s">
        <v>218</v>
      </c>
      <c r="G19" s="57" t="s">
        <v>217</v>
      </c>
    </row>
    <row r="20" spans="1:7" ht="78" x14ac:dyDescent="0.3">
      <c r="A20" s="16">
        <v>13</v>
      </c>
      <c r="B20" s="57" t="s">
        <v>21</v>
      </c>
      <c r="C20" s="57" t="s">
        <v>154</v>
      </c>
      <c r="D20" s="55" t="s">
        <v>232</v>
      </c>
      <c r="E20" s="56" t="s">
        <v>156</v>
      </c>
      <c r="F20" s="57" t="s">
        <v>223</v>
      </c>
      <c r="G20" s="57" t="s">
        <v>221</v>
      </c>
    </row>
    <row r="21" spans="1:7" ht="62.4" x14ac:dyDescent="0.3">
      <c r="A21" s="16">
        <v>14</v>
      </c>
      <c r="B21" s="57" t="s">
        <v>18</v>
      </c>
      <c r="C21" s="57" t="s">
        <v>148</v>
      </c>
      <c r="D21" s="55" t="s">
        <v>231</v>
      </c>
      <c r="E21" s="56" t="s">
        <v>151</v>
      </c>
      <c r="F21" s="57" t="s">
        <v>220</v>
      </c>
      <c r="G21" s="57" t="s">
        <v>222</v>
      </c>
    </row>
    <row r="22" spans="1:7" ht="78" x14ac:dyDescent="0.3">
      <c r="A22" s="16">
        <v>15</v>
      </c>
      <c r="B22" s="57" t="s">
        <v>19</v>
      </c>
      <c r="C22" s="57" t="s">
        <v>224</v>
      </c>
      <c r="D22" s="55" t="s">
        <v>230</v>
      </c>
      <c r="E22" s="56" t="s">
        <v>225</v>
      </c>
      <c r="F22" s="57" t="s">
        <v>193</v>
      </c>
      <c r="G22" s="57" t="s">
        <v>226</v>
      </c>
    </row>
    <row r="23" spans="1:7" ht="62.4" x14ac:dyDescent="0.3">
      <c r="A23" s="16">
        <v>16</v>
      </c>
      <c r="B23" s="57" t="s">
        <v>241</v>
      </c>
      <c r="C23" s="57" t="s">
        <v>240</v>
      </c>
      <c r="D23" s="55" t="s">
        <v>229</v>
      </c>
      <c r="E23" s="56" t="s">
        <v>228</v>
      </c>
      <c r="F23" s="57" t="s">
        <v>108</v>
      </c>
      <c r="G23" s="57" t="s">
        <v>227</v>
      </c>
    </row>
    <row r="24" spans="1:7" ht="15.6" x14ac:dyDescent="0.3">
      <c r="A24" s="16"/>
      <c r="B24" s="16"/>
      <c r="C24" s="16"/>
      <c r="D24" s="29"/>
      <c r="E24" s="30"/>
      <c r="F24" s="16"/>
      <c r="G24" s="16"/>
    </row>
  </sheetData>
  <mergeCells count="2">
    <mergeCell ref="A1:G1"/>
    <mergeCell ref="A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E688A-896B-4D9D-9A9C-9D7EB04B211E}">
  <dimension ref="A1:G61"/>
  <sheetViews>
    <sheetView topLeftCell="A32" workbookViewId="0">
      <selection activeCell="D28" sqref="D28"/>
    </sheetView>
  </sheetViews>
  <sheetFormatPr defaultRowHeight="14.4" x14ac:dyDescent="0.3"/>
  <cols>
    <col min="1" max="1" width="4.109375" customWidth="1"/>
    <col min="2" max="2" width="12.109375" customWidth="1"/>
    <col min="3" max="3" width="20.33203125" customWidth="1"/>
    <col min="4" max="4" width="29.44140625" customWidth="1"/>
    <col min="5" max="5" width="24.44140625" customWidth="1"/>
    <col min="6" max="6" width="20.44140625" customWidth="1"/>
    <col min="7" max="7" width="32.77734375" style="26" customWidth="1"/>
    <col min="16" max="16" width="18.5546875" bestFit="1" customWidth="1"/>
  </cols>
  <sheetData>
    <row r="1" spans="1:7" ht="21" x14ac:dyDescent="0.3">
      <c r="A1" s="69" t="s">
        <v>99</v>
      </c>
      <c r="B1" s="69"/>
      <c r="C1" s="69"/>
      <c r="D1" s="69"/>
      <c r="E1" s="69"/>
      <c r="F1" s="69"/>
      <c r="G1" s="69"/>
    </row>
    <row r="2" spans="1:7" ht="18" x14ac:dyDescent="0.3">
      <c r="A2" s="31" t="s">
        <v>95</v>
      </c>
      <c r="B2" s="31"/>
      <c r="C2" s="31"/>
      <c r="D2" s="31"/>
      <c r="E2" s="25"/>
      <c r="F2" s="25"/>
      <c r="G2" s="25"/>
    </row>
    <row r="3" spans="1:7" ht="18" x14ac:dyDescent="0.35">
      <c r="A3" s="32" t="s">
        <v>179</v>
      </c>
      <c r="B3" s="32"/>
      <c r="C3" s="32"/>
      <c r="D3" s="32"/>
    </row>
    <row r="4" spans="1:7" ht="18" x14ac:dyDescent="0.35">
      <c r="A4" s="32" t="s">
        <v>98</v>
      </c>
      <c r="B4" s="32"/>
      <c r="C4" s="32"/>
      <c r="D4" s="32"/>
    </row>
    <row r="5" spans="1:7" ht="18" x14ac:dyDescent="0.35">
      <c r="A5" s="32" t="s">
        <v>96</v>
      </c>
      <c r="B5" s="32"/>
      <c r="C5" s="32"/>
      <c r="D5" s="32"/>
    </row>
    <row r="6" spans="1:7" ht="18" x14ac:dyDescent="0.35">
      <c r="A6" s="32" t="s">
        <v>97</v>
      </c>
      <c r="B6" s="32"/>
      <c r="C6" s="32"/>
      <c r="D6" s="32"/>
    </row>
    <row r="8" spans="1:7" s="36" customFormat="1" ht="21" x14ac:dyDescent="0.3">
      <c r="A8" s="71" t="s">
        <v>28</v>
      </c>
      <c r="B8" s="71"/>
      <c r="C8" s="71"/>
      <c r="D8" s="71"/>
      <c r="E8" s="71"/>
      <c r="F8" s="71"/>
      <c r="G8" s="71"/>
    </row>
    <row r="9" spans="1:7" x14ac:dyDescent="0.3">
      <c r="A9" s="27" t="s">
        <v>7</v>
      </c>
      <c r="B9" s="27" t="s">
        <v>8</v>
      </c>
      <c r="C9" s="27" t="s">
        <v>9</v>
      </c>
      <c r="D9" s="27" t="s">
        <v>12</v>
      </c>
      <c r="E9" s="28" t="s">
        <v>13</v>
      </c>
      <c r="F9" s="27" t="s">
        <v>10</v>
      </c>
      <c r="G9" s="27" t="s">
        <v>11</v>
      </c>
    </row>
    <row r="10" spans="1:7" ht="43.2" x14ac:dyDescent="0.3">
      <c r="A10" s="51">
        <v>1</v>
      </c>
      <c r="B10" s="38" t="s">
        <v>100</v>
      </c>
      <c r="C10" s="38" t="s">
        <v>104</v>
      </c>
      <c r="D10" s="38" t="s">
        <v>146</v>
      </c>
      <c r="E10" s="40" t="s">
        <v>101</v>
      </c>
      <c r="F10" s="38" t="s">
        <v>108</v>
      </c>
      <c r="G10" s="38" t="s">
        <v>102</v>
      </c>
    </row>
    <row r="11" spans="1:7" ht="72" x14ac:dyDescent="0.3">
      <c r="A11" s="51">
        <v>2</v>
      </c>
      <c r="B11" s="38" t="s">
        <v>103</v>
      </c>
      <c r="C11" s="38" t="s">
        <v>105</v>
      </c>
      <c r="D11" s="38" t="s">
        <v>106</v>
      </c>
      <c r="E11" s="40" t="s">
        <v>107</v>
      </c>
      <c r="F11" s="38" t="s">
        <v>108</v>
      </c>
      <c r="G11" s="38" t="s">
        <v>109</v>
      </c>
    </row>
    <row r="12" spans="1:7" ht="43.2" x14ac:dyDescent="0.3">
      <c r="A12" s="51">
        <v>3</v>
      </c>
      <c r="B12" s="38" t="s">
        <v>110</v>
      </c>
      <c r="C12" s="38" t="s">
        <v>55</v>
      </c>
      <c r="D12" s="38" t="s">
        <v>111</v>
      </c>
      <c r="E12" s="40" t="s">
        <v>112</v>
      </c>
      <c r="F12" s="38" t="s">
        <v>108</v>
      </c>
      <c r="G12" s="38" t="s">
        <v>113</v>
      </c>
    </row>
    <row r="13" spans="1:7" ht="43.2" x14ac:dyDescent="0.3">
      <c r="A13" s="51">
        <v>4</v>
      </c>
      <c r="B13" s="38" t="s">
        <v>100</v>
      </c>
      <c r="C13" s="38" t="s">
        <v>114</v>
      </c>
      <c r="D13" s="38" t="s">
        <v>115</v>
      </c>
      <c r="E13" s="40" t="s">
        <v>101</v>
      </c>
      <c r="F13" s="38" t="s">
        <v>108</v>
      </c>
      <c r="G13" s="38" t="s">
        <v>116</v>
      </c>
    </row>
    <row r="14" spans="1:7" ht="43.2" x14ac:dyDescent="0.3">
      <c r="A14" s="51">
        <v>5</v>
      </c>
      <c r="B14" s="38" t="s">
        <v>100</v>
      </c>
      <c r="C14" s="38" t="s">
        <v>59</v>
      </c>
      <c r="D14" s="38" t="s">
        <v>117</v>
      </c>
      <c r="E14" s="40" t="s">
        <v>101</v>
      </c>
      <c r="F14" s="38" t="s">
        <v>108</v>
      </c>
      <c r="G14" s="38" t="s">
        <v>116</v>
      </c>
    </row>
    <row r="15" spans="1:7" ht="57.6" x14ac:dyDescent="0.3">
      <c r="A15" s="51">
        <v>6</v>
      </c>
      <c r="B15" s="38" t="s">
        <v>110</v>
      </c>
      <c r="C15" s="38" t="s">
        <v>77</v>
      </c>
      <c r="D15" s="38" t="s">
        <v>118</v>
      </c>
      <c r="E15" s="40" t="s">
        <v>119</v>
      </c>
      <c r="F15" s="38" t="s">
        <v>108</v>
      </c>
      <c r="G15" s="38" t="s">
        <v>120</v>
      </c>
    </row>
    <row r="16" spans="1:7" ht="43.2" x14ac:dyDescent="0.3">
      <c r="A16" s="51">
        <v>7</v>
      </c>
      <c r="B16" s="38" t="s">
        <v>121</v>
      </c>
      <c r="C16" s="38" t="s">
        <v>60</v>
      </c>
      <c r="D16" s="38" t="s">
        <v>122</v>
      </c>
      <c r="E16" s="40" t="s">
        <v>123</v>
      </c>
      <c r="F16" s="38" t="s">
        <v>108</v>
      </c>
      <c r="G16" s="38" t="s">
        <v>124</v>
      </c>
    </row>
    <row r="17" spans="1:7" ht="43.2" x14ac:dyDescent="0.3">
      <c r="A17" s="51">
        <v>8</v>
      </c>
      <c r="B17" s="38" t="s">
        <v>121</v>
      </c>
      <c r="C17" s="38" t="s">
        <v>125</v>
      </c>
      <c r="D17" s="38" t="s">
        <v>133</v>
      </c>
      <c r="E17" s="40" t="s">
        <v>126</v>
      </c>
      <c r="F17" s="38" t="s">
        <v>108</v>
      </c>
      <c r="G17" s="38" t="s">
        <v>127</v>
      </c>
    </row>
    <row r="18" spans="1:7" ht="86.4" x14ac:dyDescent="0.3">
      <c r="A18" s="51">
        <v>9</v>
      </c>
      <c r="B18" s="38" t="s">
        <v>16</v>
      </c>
      <c r="C18" s="38" t="s">
        <v>128</v>
      </c>
      <c r="D18" s="59" t="s">
        <v>129</v>
      </c>
      <c r="E18" s="40" t="s">
        <v>130</v>
      </c>
      <c r="F18" s="38" t="s">
        <v>108</v>
      </c>
      <c r="G18" s="38" t="s">
        <v>131</v>
      </c>
    </row>
    <row r="19" spans="1:7" ht="86.4" x14ac:dyDescent="0.3">
      <c r="A19" s="51">
        <v>10</v>
      </c>
      <c r="B19" s="38" t="s">
        <v>16</v>
      </c>
      <c r="C19" s="38" t="s">
        <v>132</v>
      </c>
      <c r="D19" s="38" t="s">
        <v>134</v>
      </c>
      <c r="E19" s="40" t="s">
        <v>135</v>
      </c>
      <c r="F19" s="38" t="s">
        <v>108</v>
      </c>
      <c r="G19" s="38" t="s">
        <v>131</v>
      </c>
    </row>
    <row r="20" spans="1:7" ht="57.6" x14ac:dyDescent="0.3">
      <c r="A20" s="51">
        <v>11</v>
      </c>
      <c r="B20" s="38" t="s">
        <v>18</v>
      </c>
      <c r="C20" s="38" t="s">
        <v>136</v>
      </c>
      <c r="D20" s="38" t="s">
        <v>137</v>
      </c>
      <c r="E20" s="40" t="s">
        <v>138</v>
      </c>
      <c r="F20" s="38" t="s">
        <v>108</v>
      </c>
      <c r="G20" s="38" t="s">
        <v>139</v>
      </c>
    </row>
    <row r="21" spans="1:7" ht="57.6" x14ac:dyDescent="0.3">
      <c r="A21" s="51">
        <v>12</v>
      </c>
      <c r="B21" s="38" t="s">
        <v>140</v>
      </c>
      <c r="C21" s="38" t="s">
        <v>141</v>
      </c>
      <c r="D21" s="38" t="s">
        <v>142</v>
      </c>
      <c r="E21" s="40" t="s">
        <v>143</v>
      </c>
      <c r="F21" s="38" t="s">
        <v>108</v>
      </c>
      <c r="G21" s="38" t="s">
        <v>120</v>
      </c>
    </row>
    <row r="22" spans="1:7" ht="57.6" x14ac:dyDescent="0.3">
      <c r="A22" s="51">
        <v>13</v>
      </c>
      <c r="B22" s="38" t="s">
        <v>19</v>
      </c>
      <c r="C22" s="38" t="s">
        <v>145</v>
      </c>
      <c r="D22" s="38" t="s">
        <v>147</v>
      </c>
      <c r="E22" s="40" t="s">
        <v>144</v>
      </c>
      <c r="F22" s="38" t="s">
        <v>108</v>
      </c>
      <c r="G22" s="38" t="s">
        <v>175</v>
      </c>
    </row>
    <row r="23" spans="1:7" ht="57.6" x14ac:dyDescent="0.3">
      <c r="A23" s="51">
        <v>14</v>
      </c>
      <c r="B23" s="38" t="s">
        <v>171</v>
      </c>
      <c r="C23" s="38" t="s">
        <v>172</v>
      </c>
      <c r="D23" s="38" t="s">
        <v>173</v>
      </c>
      <c r="E23" s="40" t="s">
        <v>130</v>
      </c>
      <c r="F23" s="38" t="s">
        <v>108</v>
      </c>
      <c r="G23" s="38" t="s">
        <v>174</v>
      </c>
    </row>
    <row r="24" spans="1:7" ht="57.6" x14ac:dyDescent="0.3">
      <c r="A24" s="51">
        <v>15</v>
      </c>
      <c r="B24" s="38" t="s">
        <v>162</v>
      </c>
      <c r="C24" s="38" t="s">
        <v>176</v>
      </c>
      <c r="D24" s="38" t="s">
        <v>177</v>
      </c>
      <c r="E24" s="40" t="s">
        <v>178</v>
      </c>
      <c r="F24" s="38" t="s">
        <v>108</v>
      </c>
      <c r="G24" s="38" t="s">
        <v>174</v>
      </c>
    </row>
    <row r="26" spans="1:7" s="36" customFormat="1" ht="21" x14ac:dyDescent="0.3">
      <c r="A26" s="72" t="s">
        <v>30</v>
      </c>
      <c r="B26" s="73"/>
      <c r="C26" s="73"/>
      <c r="D26" s="73"/>
      <c r="E26" s="73"/>
      <c r="F26" s="73"/>
      <c r="G26" s="74"/>
    </row>
    <row r="27" spans="1:7" x14ac:dyDescent="0.3">
      <c r="A27" s="27" t="s">
        <v>7</v>
      </c>
      <c r="B27" s="27" t="s">
        <v>8</v>
      </c>
      <c r="C27" s="27" t="s">
        <v>9</v>
      </c>
      <c r="D27" s="27" t="s">
        <v>12</v>
      </c>
      <c r="E27" s="28" t="s">
        <v>13</v>
      </c>
      <c r="F27" s="27" t="s">
        <v>10</v>
      </c>
      <c r="G27" s="27" t="s">
        <v>11</v>
      </c>
    </row>
    <row r="28" spans="1:7" ht="172.8" x14ac:dyDescent="0.3">
      <c r="A28" s="51">
        <v>1</v>
      </c>
      <c r="B28" s="38" t="s">
        <v>18</v>
      </c>
      <c r="C28" s="38" t="s">
        <v>149</v>
      </c>
      <c r="D28" s="38" t="s">
        <v>150</v>
      </c>
      <c r="E28" s="40" t="s">
        <v>151</v>
      </c>
      <c r="F28" s="38" t="s">
        <v>152</v>
      </c>
      <c r="G28" s="38" t="s">
        <v>153</v>
      </c>
    </row>
    <row r="29" spans="1:7" ht="172.8" x14ac:dyDescent="0.3">
      <c r="A29" s="51">
        <v>2</v>
      </c>
      <c r="B29" s="38" t="s">
        <v>21</v>
      </c>
      <c r="C29" s="38" t="s">
        <v>154</v>
      </c>
      <c r="D29" s="38" t="s">
        <v>155</v>
      </c>
      <c r="E29" s="40" t="s">
        <v>156</v>
      </c>
      <c r="F29" s="38" t="s">
        <v>152</v>
      </c>
      <c r="G29" s="38" t="s">
        <v>157</v>
      </c>
    </row>
    <row r="30" spans="1:7" ht="144" x14ac:dyDescent="0.3">
      <c r="A30" s="51">
        <v>3</v>
      </c>
      <c r="B30" s="38" t="s">
        <v>21</v>
      </c>
      <c r="C30" s="38" t="s">
        <v>158</v>
      </c>
      <c r="D30" s="38" t="s">
        <v>160</v>
      </c>
      <c r="E30" s="40" t="s">
        <v>159</v>
      </c>
      <c r="F30" s="38" t="s">
        <v>152</v>
      </c>
      <c r="G30" s="38" t="s">
        <v>161</v>
      </c>
    </row>
    <row r="31" spans="1:7" ht="129.6" x14ac:dyDescent="0.3">
      <c r="A31" s="51">
        <v>4</v>
      </c>
      <c r="B31" s="38" t="s">
        <v>162</v>
      </c>
      <c r="C31" s="38" t="s">
        <v>163</v>
      </c>
      <c r="D31" s="38" t="s">
        <v>164</v>
      </c>
      <c r="E31" s="40" t="s">
        <v>165</v>
      </c>
      <c r="F31" s="38" t="s">
        <v>152</v>
      </c>
      <c r="G31" s="38" t="s">
        <v>166</v>
      </c>
    </row>
    <row r="32" spans="1:7" ht="158.4" x14ac:dyDescent="0.3">
      <c r="A32" s="51">
        <v>5</v>
      </c>
      <c r="B32" s="38" t="s">
        <v>16</v>
      </c>
      <c r="C32" s="38" t="s">
        <v>167</v>
      </c>
      <c r="D32" s="38" t="s">
        <v>168</v>
      </c>
      <c r="E32" s="40" t="s">
        <v>169</v>
      </c>
      <c r="F32" s="38" t="s">
        <v>152</v>
      </c>
      <c r="G32" s="38" t="s">
        <v>170</v>
      </c>
    </row>
    <row r="33" spans="1:7" x14ac:dyDescent="0.3">
      <c r="A33" s="52"/>
      <c r="B33" s="52"/>
      <c r="C33" s="52"/>
      <c r="D33" s="52"/>
      <c r="E33" s="52"/>
      <c r="F33" s="52"/>
      <c r="G33" s="53"/>
    </row>
    <row r="34" spans="1:7" x14ac:dyDescent="0.3">
      <c r="A34" s="52"/>
      <c r="B34" s="52"/>
      <c r="C34" s="52"/>
      <c r="D34" s="52"/>
      <c r="E34" s="52"/>
      <c r="F34" s="52"/>
      <c r="G34" s="53"/>
    </row>
    <row r="35" spans="1:7" x14ac:dyDescent="0.3">
      <c r="A35" s="52"/>
      <c r="B35" s="52"/>
      <c r="C35" s="52"/>
      <c r="D35" s="52"/>
      <c r="E35" s="52"/>
      <c r="F35" s="52"/>
      <c r="G35" s="53"/>
    </row>
    <row r="54" spans="7:7" x14ac:dyDescent="0.3">
      <c r="G54"/>
    </row>
    <row r="55" spans="7:7" x14ac:dyDescent="0.3">
      <c r="G55"/>
    </row>
    <row r="56" spans="7:7" x14ac:dyDescent="0.3">
      <c r="G56"/>
    </row>
    <row r="57" spans="7:7" x14ac:dyDescent="0.3">
      <c r="G57"/>
    </row>
    <row r="58" spans="7:7" x14ac:dyDescent="0.3">
      <c r="G58"/>
    </row>
    <row r="59" spans="7:7" x14ac:dyDescent="0.3">
      <c r="G59"/>
    </row>
    <row r="60" spans="7:7" x14ac:dyDescent="0.3">
      <c r="G60"/>
    </row>
    <row r="61" spans="7:7" x14ac:dyDescent="0.3">
      <c r="G61"/>
    </row>
  </sheetData>
  <mergeCells count="3">
    <mergeCell ref="A1:G1"/>
    <mergeCell ref="A8:G8"/>
    <mergeCell ref="A26:G2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89E28-D06A-4AF5-8539-A3BF5A91481A}">
  <dimension ref="A1:K33"/>
  <sheetViews>
    <sheetView zoomScale="90" zoomScaleNormal="90" workbookViewId="0">
      <selection activeCell="I12" sqref="I12"/>
    </sheetView>
  </sheetViews>
  <sheetFormatPr defaultRowHeight="14.4" x14ac:dyDescent="0.3"/>
  <cols>
    <col min="1" max="1" width="4.109375" customWidth="1"/>
    <col min="2" max="2" width="15.88671875" customWidth="1"/>
    <col min="3" max="5" width="20" customWidth="1"/>
    <col min="6" max="6" width="19.44140625" customWidth="1"/>
    <col min="7" max="7" width="29.109375" style="26" customWidth="1"/>
    <col min="16" max="16" width="18.5546875" bestFit="1" customWidth="1"/>
  </cols>
  <sheetData>
    <row r="1" spans="1:7" ht="21" x14ac:dyDescent="0.3">
      <c r="A1" s="69" t="s">
        <v>31</v>
      </c>
      <c r="B1" s="69"/>
      <c r="C1" s="69"/>
      <c r="D1" s="69"/>
      <c r="E1" s="69"/>
      <c r="F1" s="69"/>
      <c r="G1" s="69"/>
    </row>
    <row r="2" spans="1:7" ht="18" x14ac:dyDescent="0.3">
      <c r="A2" s="31" t="s">
        <v>32</v>
      </c>
      <c r="B2" s="31"/>
      <c r="C2" s="31"/>
      <c r="D2" s="31"/>
      <c r="E2" s="25"/>
      <c r="F2" s="25"/>
      <c r="G2" s="25"/>
    </row>
    <row r="3" spans="1:7" ht="18" x14ac:dyDescent="0.35">
      <c r="A3" s="32" t="s">
        <v>82</v>
      </c>
      <c r="B3" s="32"/>
      <c r="C3" s="32"/>
      <c r="D3" s="32"/>
    </row>
    <row r="4" spans="1:7" ht="18" x14ac:dyDescent="0.35">
      <c r="A4" s="32" t="s">
        <v>81</v>
      </c>
      <c r="B4" s="32"/>
      <c r="C4" s="32"/>
      <c r="D4" s="32"/>
    </row>
    <row r="5" spans="1:7" ht="18" x14ac:dyDescent="0.35">
      <c r="A5" s="32" t="s">
        <v>80</v>
      </c>
      <c r="B5" s="32"/>
      <c r="C5" s="32"/>
      <c r="D5" s="32"/>
    </row>
    <row r="7" spans="1:7" s="36" customFormat="1" ht="21" x14ac:dyDescent="0.3">
      <c r="A7" s="71" t="s">
        <v>29</v>
      </c>
      <c r="B7" s="71"/>
      <c r="C7" s="71"/>
      <c r="D7" s="71"/>
      <c r="E7" s="71"/>
      <c r="F7" s="71"/>
      <c r="G7" s="71"/>
    </row>
    <row r="8" spans="1:7" ht="28.8" x14ac:dyDescent="0.3">
      <c r="A8" s="27" t="s">
        <v>7</v>
      </c>
      <c r="B8" s="27" t="s">
        <v>8</v>
      </c>
      <c r="C8" s="27" t="s">
        <v>9</v>
      </c>
      <c r="D8" s="27" t="s">
        <v>12</v>
      </c>
      <c r="E8" s="28" t="s">
        <v>13</v>
      </c>
      <c r="F8" s="27" t="s">
        <v>10</v>
      </c>
      <c r="G8" s="27" t="s">
        <v>11</v>
      </c>
    </row>
    <row r="9" spans="1:7" ht="83.4" customHeight="1" x14ac:dyDescent="0.3">
      <c r="A9" s="37">
        <v>1</v>
      </c>
      <c r="B9" s="38" t="s">
        <v>33</v>
      </c>
      <c r="C9" s="38" t="s">
        <v>34</v>
      </c>
      <c r="D9" s="39" t="s">
        <v>61</v>
      </c>
      <c r="E9" s="40" t="s">
        <v>35</v>
      </c>
      <c r="F9" s="38" t="s">
        <v>36</v>
      </c>
      <c r="G9" s="38" t="s">
        <v>83</v>
      </c>
    </row>
    <row r="10" spans="1:7" ht="66" customHeight="1" x14ac:dyDescent="0.3">
      <c r="A10" s="37">
        <v>2</v>
      </c>
      <c r="B10" s="41" t="s">
        <v>33</v>
      </c>
      <c r="C10" s="41" t="s">
        <v>37</v>
      </c>
      <c r="D10" s="42" t="s">
        <v>62</v>
      </c>
      <c r="E10" s="43" t="s">
        <v>38</v>
      </c>
      <c r="F10" s="41" t="s">
        <v>39</v>
      </c>
      <c r="G10" s="38" t="s">
        <v>84</v>
      </c>
    </row>
    <row r="11" spans="1:7" ht="88.2" customHeight="1" x14ac:dyDescent="0.3">
      <c r="A11" s="37">
        <v>3</v>
      </c>
      <c r="B11" s="41" t="s">
        <v>33</v>
      </c>
      <c r="C11" s="41" t="s">
        <v>40</v>
      </c>
      <c r="D11" s="42" t="s">
        <v>63</v>
      </c>
      <c r="E11" s="43" t="s">
        <v>41</v>
      </c>
      <c r="F11" s="41" t="s">
        <v>39</v>
      </c>
      <c r="G11" s="38" t="s">
        <v>85</v>
      </c>
    </row>
    <row r="12" spans="1:7" ht="85.8" customHeight="1" x14ac:dyDescent="0.3">
      <c r="A12" s="37">
        <v>4</v>
      </c>
      <c r="B12" s="41" t="s">
        <v>33</v>
      </c>
      <c r="C12" s="41" t="s">
        <v>43</v>
      </c>
      <c r="D12" s="42" t="s">
        <v>64</v>
      </c>
      <c r="E12" s="44" t="s">
        <v>42</v>
      </c>
      <c r="F12" s="41" t="s">
        <v>39</v>
      </c>
      <c r="G12" s="38" t="s">
        <v>86</v>
      </c>
    </row>
    <row r="13" spans="1:7" ht="99.6" customHeight="1" x14ac:dyDescent="0.3">
      <c r="A13" s="37">
        <v>5</v>
      </c>
      <c r="B13" s="41" t="s">
        <v>33</v>
      </c>
      <c r="C13" s="41" t="s">
        <v>44</v>
      </c>
      <c r="D13" s="42" t="s">
        <v>65</v>
      </c>
      <c r="E13" s="43" t="s">
        <v>45</v>
      </c>
      <c r="F13" s="45" t="s">
        <v>46</v>
      </c>
      <c r="G13" s="38" t="s">
        <v>87</v>
      </c>
    </row>
    <row r="14" spans="1:7" ht="79.8" customHeight="1" x14ac:dyDescent="0.3">
      <c r="A14" s="37">
        <v>6</v>
      </c>
      <c r="B14" s="41" t="s">
        <v>47</v>
      </c>
      <c r="C14" s="41" t="s">
        <v>48</v>
      </c>
      <c r="D14" s="42" t="s">
        <v>67</v>
      </c>
      <c r="E14" s="43" t="s">
        <v>49</v>
      </c>
      <c r="F14" s="50" t="s">
        <v>46</v>
      </c>
      <c r="G14" s="38" t="s">
        <v>88</v>
      </c>
    </row>
    <row r="15" spans="1:7" ht="47.4" customHeight="1" x14ac:dyDescent="0.3">
      <c r="A15" s="37">
        <v>7</v>
      </c>
      <c r="B15" s="41" t="s">
        <v>47</v>
      </c>
      <c r="C15" s="41" t="s">
        <v>50</v>
      </c>
      <c r="D15" s="42" t="s">
        <v>66</v>
      </c>
      <c r="E15" s="43" t="s">
        <v>51</v>
      </c>
      <c r="F15" s="41" t="s">
        <v>36</v>
      </c>
      <c r="G15" s="38" t="s">
        <v>89</v>
      </c>
    </row>
    <row r="16" spans="1:7" ht="47.4" customHeight="1" x14ac:dyDescent="0.3">
      <c r="A16" s="37">
        <v>8</v>
      </c>
      <c r="B16" s="41" t="s">
        <v>52</v>
      </c>
      <c r="C16" s="41" t="s">
        <v>53</v>
      </c>
      <c r="D16" s="42" t="s">
        <v>68</v>
      </c>
      <c r="E16" s="43" t="s">
        <v>54</v>
      </c>
      <c r="F16" s="41" t="s">
        <v>46</v>
      </c>
      <c r="G16" s="38" t="s">
        <v>90</v>
      </c>
    </row>
    <row r="17" spans="1:11" ht="61.8" customHeight="1" x14ac:dyDescent="0.3">
      <c r="A17" s="37">
        <v>9</v>
      </c>
      <c r="B17" s="41" t="s">
        <v>47</v>
      </c>
      <c r="C17" s="41" t="s">
        <v>55</v>
      </c>
      <c r="D17" s="42" t="s">
        <v>69</v>
      </c>
      <c r="E17" s="43" t="s">
        <v>56</v>
      </c>
      <c r="F17" s="41" t="s">
        <v>57</v>
      </c>
      <c r="G17" s="38" t="s">
        <v>92</v>
      </c>
    </row>
    <row r="18" spans="1:11" ht="47.4" customHeight="1" x14ac:dyDescent="0.3">
      <c r="A18" s="37">
        <v>10</v>
      </c>
      <c r="B18" s="41" t="s">
        <v>47</v>
      </c>
      <c r="C18" s="41" t="s">
        <v>58</v>
      </c>
      <c r="D18" s="42" t="s">
        <v>70</v>
      </c>
      <c r="E18" s="43" t="s">
        <v>49</v>
      </c>
      <c r="F18" s="41" t="s">
        <v>46</v>
      </c>
      <c r="G18" s="38" t="s">
        <v>91</v>
      </c>
    </row>
    <row r="19" spans="1:11" ht="47.4" customHeight="1" x14ac:dyDescent="0.3">
      <c r="A19" s="37">
        <v>11</v>
      </c>
      <c r="B19" s="41" t="s">
        <v>47</v>
      </c>
      <c r="C19" s="41" t="s">
        <v>59</v>
      </c>
      <c r="D19" s="42" t="s">
        <v>71</v>
      </c>
      <c r="E19" s="43" t="s">
        <v>49</v>
      </c>
      <c r="F19" s="41" t="s">
        <v>46</v>
      </c>
      <c r="G19" s="38" t="s">
        <v>91</v>
      </c>
    </row>
    <row r="20" spans="1:11" ht="70.2" customHeight="1" x14ac:dyDescent="0.3">
      <c r="A20" s="37">
        <v>12</v>
      </c>
      <c r="B20" s="41" t="s">
        <v>33</v>
      </c>
      <c r="C20" s="41" t="s">
        <v>60</v>
      </c>
      <c r="D20" s="42" t="s">
        <v>72</v>
      </c>
      <c r="E20" s="43" t="s">
        <v>73</v>
      </c>
      <c r="F20" s="41" t="s">
        <v>46</v>
      </c>
      <c r="G20" s="38" t="s">
        <v>93</v>
      </c>
    </row>
    <row r="21" spans="1:11" ht="47.4" customHeight="1" x14ac:dyDescent="0.3">
      <c r="A21" s="37">
        <v>13</v>
      </c>
      <c r="B21" s="41" t="s">
        <v>33</v>
      </c>
      <c r="C21" s="41" t="s">
        <v>74</v>
      </c>
      <c r="D21" s="42" t="s">
        <v>75</v>
      </c>
      <c r="E21" s="43" t="s">
        <v>76</v>
      </c>
      <c r="F21" s="41" t="s">
        <v>46</v>
      </c>
      <c r="G21" s="38" t="s">
        <v>94</v>
      </c>
    </row>
    <row r="22" spans="1:11" ht="44.4" customHeight="1" x14ac:dyDescent="0.3">
      <c r="A22" s="46">
        <v>14</v>
      </c>
      <c r="B22" s="47" t="s">
        <v>47</v>
      </c>
      <c r="C22" s="47" t="s">
        <v>77</v>
      </c>
      <c r="D22" s="48" t="s">
        <v>78</v>
      </c>
      <c r="E22" s="49" t="s">
        <v>79</v>
      </c>
      <c r="F22" s="47" t="s">
        <v>46</v>
      </c>
      <c r="G22" s="46" t="s">
        <v>91</v>
      </c>
      <c r="K22" s="33"/>
    </row>
    <row r="26" spans="1:11" x14ac:dyDescent="0.3">
      <c r="G26"/>
    </row>
    <row r="27" spans="1:11" x14ac:dyDescent="0.3">
      <c r="G27"/>
    </row>
    <row r="28" spans="1:11" x14ac:dyDescent="0.3">
      <c r="G28"/>
    </row>
    <row r="29" spans="1:11" x14ac:dyDescent="0.3">
      <c r="G29"/>
    </row>
    <row r="30" spans="1:11" x14ac:dyDescent="0.3">
      <c r="G30"/>
    </row>
    <row r="31" spans="1:11" x14ac:dyDescent="0.3">
      <c r="G31"/>
    </row>
    <row r="32" spans="1:11" x14ac:dyDescent="0.3">
      <c r="G32"/>
    </row>
    <row r="33" spans="7:7" x14ac:dyDescent="0.3">
      <c r="G33"/>
    </row>
  </sheetData>
  <mergeCells count="2">
    <mergeCell ref="A1:G1"/>
    <mergeCell ref="A7:G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PENGADUAN SEBELUM PEMBEKUAN</vt:lpstr>
      <vt:lpstr>PENGADUAN SETELAH PEMBEKUAN</vt:lpstr>
      <vt:lpstr>PENGADUAN AXA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dian r</cp:lastModifiedBy>
  <dcterms:created xsi:type="dcterms:W3CDTF">2026-03-04T03:49:22Z</dcterms:created>
  <dcterms:modified xsi:type="dcterms:W3CDTF">2026-03-07T12:31:14Z</dcterms:modified>
</cp:coreProperties>
</file>